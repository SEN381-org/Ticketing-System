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I Usage Register" sheetId="1" state="visible" r:id="rId1"/>
  </sheets>
  <definedNames/>
  <calcPr calcId="191029" fullCalcOnLoad="1"/>
</workbook>
</file>

<file path=xl/styles.xml><?xml version="1.0" encoding="utf-8"?>
<styleSheet xmlns="http://schemas.openxmlformats.org/spreadsheetml/2006/main">
  <numFmts count="1">
    <numFmt numFmtId="164" formatCode="dd\ mmm\ yyyy"/>
  </numFmts>
  <fonts count="4">
    <font>
      <name val="Aptos Narrow"/>
      <family val="2"/>
      <color theme="1"/>
      <sz val="11"/>
      <scheme val="minor"/>
    </font>
    <font>
      <name val="Aptos Narrow"/>
      <family val="2"/>
      <b val="1"/>
      <color rgb="FF1F3864"/>
      <sz val="18"/>
      <scheme val="minor"/>
    </font>
    <font>
      <name val="Aptos Narrow"/>
      <family val="2"/>
      <b val="1"/>
      <color rgb="FFFFFFFF"/>
      <sz val="11"/>
      <scheme val="minor"/>
    </font>
    <font>
      <name val="Calibri"/>
      <family val="2"/>
      <sz val="10"/>
    </font>
  </fonts>
  <fills count="4">
    <fill>
      <patternFill/>
    </fill>
    <fill>
      <patternFill patternType="gray125"/>
    </fill>
    <fill>
      <patternFill patternType="solid">
        <fgColor rgb="FF1F3864"/>
        <bgColor indexed="64"/>
      </patternFill>
    </fill>
    <fill>
      <patternFill patternType="solid">
        <fgColor rgb="FFFFF2CC"/>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style="thin">
        <color rgb="FFB4C6E7"/>
      </left>
      <right style="thin">
        <color rgb="FFB4C6E7"/>
      </right>
      <top style="medium">
        <color rgb="FF1F3864"/>
      </top>
      <bottom style="medium">
        <color rgb="FF1F3864"/>
      </bottom>
      <diagonal/>
    </border>
    <border>
      <left style="medium">
        <color rgb="FF1F3864"/>
      </left>
      <right style="thin">
        <color rgb="FFB4C6E7"/>
      </right>
      <top style="medium">
        <color rgb="FF1F3864"/>
      </top>
      <bottom style="medium">
        <color rgb="FF1F3864"/>
      </bottom>
      <diagonal/>
    </border>
    <border>
      <left style="thin">
        <color rgb="FFB4C6E7"/>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horizontal="center" vertical="center"/>
    </xf>
    <xf numFmtId="0" fontId="2" fillId="2" borderId="3" applyAlignment="1" pivotButton="0" quotePrefix="0" xfId="0">
      <alignment horizontal="center" vertical="center" wrapText="1"/>
    </xf>
    <xf numFmtId="0" fontId="2" fillId="2" borderId="4" applyAlignment="1" pivotButton="0" quotePrefix="0" xfId="0">
      <alignment horizontal="center" vertical="center" wrapText="1"/>
    </xf>
    <xf numFmtId="0" fontId="2" fillId="2" borderId="5" applyAlignment="1" pivotButton="0" quotePrefix="0" xfId="0">
      <alignment horizontal="center" vertical="center" wrapText="1"/>
    </xf>
    <xf numFmtId="164" fontId="0" fillId="0" borderId="2" applyAlignment="1" pivotButton="0" quotePrefix="0" xfId="0">
      <alignment horizontal="center" vertical="center" wrapText="1"/>
    </xf>
    <xf numFmtId="0" fontId="0" fillId="0" borderId="2" applyAlignment="1" pivotButton="0" quotePrefix="0" xfId="0">
      <alignment horizontal="center" vertical="center" wrapText="1"/>
    </xf>
    <xf numFmtId="164"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3" fillId="0" borderId="6" applyAlignment="1" pivotButton="0" quotePrefix="0" xfId="0">
      <alignment horizontal="center" vertical="center" wrapText="1"/>
    </xf>
    <xf numFmtId="0" fontId="3" fillId="3" borderId="6" applyAlignment="1" pivotButton="0" quotePrefix="0" xfId="0">
      <alignment horizontal="center" vertical="center" wrapText="1"/>
    </xf>
    <xf numFmtId="0" fontId="1" fillId="0" borderId="0" applyAlignment="1" pivotButton="0" quotePrefix="0" xfId="0">
      <alignment horizontal="center" vertical="center"/>
    </xf>
  </cellXfs>
  <cellStyles count="1">
    <cellStyle name="Normal" xfId="0" builtinId="0"/>
  </cellStyles>
  <dxfs count="2">
    <dxf>
      <fill>
        <patternFill patternType="solid">
          <fgColor indexed="64"/>
          <bgColor rgb="FFF2F6FC"/>
        </patternFill>
      </fill>
    </dxf>
    <dxf>
      <fill>
        <patternFill patternType="solid">
          <fgColor indexed="64"/>
          <bgColor rgb="FFF2F6F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rgb="FF1F3864"/>
    <outlinePr summaryBelow="1" summaryRight="1"/>
    <pageSetUpPr/>
  </sheetPr>
  <dimension ref="B1:I38"/>
  <sheetViews>
    <sheetView showGridLines="0" tabSelected="1" zoomScale="85" zoomScaleNormal="85" workbookViewId="0">
      <pane ySplit="2" topLeftCell="A24" activePane="bottomLeft" state="frozen"/>
      <selection pane="bottomLeft" activeCell="J28" sqref="J28"/>
    </sheetView>
  </sheetViews>
  <sheetFormatPr baseColWidth="8" defaultColWidth="8.85546875" defaultRowHeight="15"/>
  <cols>
    <col width="4.140625" customWidth="1" style="1" min="1" max="1"/>
    <col width="14.7109375" customWidth="1" style="1" min="2" max="2"/>
    <col width="20.28515625" customWidth="1" style="1" min="3" max="4"/>
    <col width="37" customWidth="1" style="1" min="5" max="6"/>
    <col width="41.5703125" customWidth="1" style="1" min="7" max="7"/>
    <col width="40.28515625" customWidth="1" style="1" min="8" max="8"/>
    <col width="40.28515625" customWidth="1" style="1" min="9" max="16384"/>
  </cols>
  <sheetData>
    <row r="1" ht="34.15" customHeight="1" thickBot="1">
      <c r="B1" s="12" t="inlineStr">
        <is>
          <t>AI Usage Register</t>
        </is>
      </c>
    </row>
    <row r="2" ht="30" customHeight="1" thickBot="1">
      <c r="B2" s="3" t="inlineStr">
        <is>
          <t>Date</t>
        </is>
      </c>
      <c r="C2" s="2" t="inlineStr">
        <is>
          <t>Student</t>
        </is>
      </c>
      <c r="D2" s="2" t="inlineStr">
        <is>
          <t>Tool</t>
        </is>
      </c>
      <c r="E2" s="2" t="inlineStr">
        <is>
          <t>Engineering Task</t>
        </is>
      </c>
      <c r="F2" s="2" t="inlineStr">
        <is>
          <t>AI Contribution</t>
        </is>
      </c>
      <c r="G2" s="2" t="inlineStr">
        <is>
          <t>Verification</t>
        </is>
      </c>
      <c r="H2" s="4" t="inlineStr">
        <is>
          <t>Decision</t>
        </is>
      </c>
      <c r="I2" s="4" t="inlineStr">
        <is>
          <t>Issues found</t>
        </is>
      </c>
    </row>
    <row r="3" ht="45" customHeight="1">
      <c r="B3" s="5">
        <f>DATE(2026,9,8)</f>
        <v/>
      </c>
      <c r="C3" s="6" t="inlineStr">
        <is>
          <t>Ethan Lindsay</t>
        </is>
      </c>
      <c r="D3" s="6" t="inlineStr">
        <is>
          <t>Claude</t>
        </is>
      </c>
      <c r="E3" s="6" t="inlineStr">
        <is>
          <t>Stakeholder identification for campus context</t>
        </is>
      </c>
      <c r="F3" s="6" t="inlineStr">
        <is>
          <t>Proposed possible stakeholder roles assosiated with a system like this</t>
        </is>
      </c>
      <c r="G3" s="6" t="inlineStr">
        <is>
          <t>Compared each againts the Master Brief s.2 and s.3 capability groups and verified that the proposed rolls are valid positions.</t>
        </is>
      </c>
      <c r="H3" s="6" t="inlineStr">
        <is>
          <t xml:space="preserve">Accepted with changes to some of the suggested roles. </t>
        </is>
      </c>
    </row>
    <row r="4" ht="30" customHeight="1">
      <c r="B4" s="7">
        <f>DATE(2026,9,8)</f>
        <v/>
      </c>
      <c r="C4" s="8" t="inlineStr">
        <is>
          <t>Ethan Lindsay</t>
        </is>
      </c>
      <c r="D4" s="8" t="inlineStr">
        <is>
          <t>Claude</t>
        </is>
      </c>
      <c r="E4" s="8" t="inlineStr">
        <is>
          <t>Stakeholder conflict analysis</t>
        </is>
      </c>
      <c r="F4" s="8" t="inlineStr">
        <is>
          <t>Drafted 4 conflicts with proposed resolutions</t>
        </is>
      </c>
      <c r="G4" s="8" t="inlineStr">
        <is>
          <t>Team reviewed and agreed resolutions on 07/09/2026</t>
        </is>
      </c>
      <c r="H4" s="8" t="inlineStr">
        <is>
          <t>Accepted with corrections and additions to conflicts given verbally.</t>
        </is>
      </c>
    </row>
    <row r="5" ht="30" customHeight="1">
      <c r="B5" s="7">
        <f>DATE(2026,9,8)</f>
        <v/>
      </c>
      <c r="C5" s="8" t="inlineStr">
        <is>
          <t>Ethan Lindsay</t>
        </is>
      </c>
      <c r="D5" s="8" t="inlineStr">
        <is>
          <t>Claude</t>
        </is>
      </c>
      <c r="E5" s="8" t="inlineStr">
        <is>
          <t>Scope baseline classification</t>
        </is>
      </c>
      <c r="F5" s="8" t="inlineStr">
        <is>
          <t>Drafted 20 scope items across in/out/deferred with justifications</t>
        </is>
      </c>
      <c r="G5" s="8" t="inlineStr">
        <is>
          <t>Checked every IN SCOPE item traces to a Master Brief s.3 capability</t>
        </is>
      </c>
      <c r="H5" s="8" t="inlineStr">
        <is>
          <t>Accepted and ensured that all given items were actually in scope and viable.</t>
        </is>
      </c>
    </row>
    <row r="6" ht="45" customHeight="1">
      <c r="B6" s="7">
        <f>DATE(2026,9,8)</f>
        <v/>
      </c>
      <c r="C6" s="8" t="inlineStr">
        <is>
          <t>Ethan Lindsay</t>
        </is>
      </c>
      <c r="D6" s="8" t="inlineStr">
        <is>
          <t>Claude</t>
        </is>
      </c>
      <c r="E6" s="8" t="inlineStr">
        <is>
          <t>Constraints analysis</t>
        </is>
      </c>
      <c r="F6" s="8" t="inlineStr">
        <is>
          <t>Drafted 8 constraints with engineering implications</t>
        </is>
      </c>
      <c r="G6" s="8" t="inlineStr">
        <is>
          <t>Verified each against Master Brief s.4, s.18, s.25; independently confirmed POPIA applicability and cited the Act</t>
        </is>
      </c>
      <c r="H6" s="8" t="inlineStr">
        <is>
          <t>Accepted, Verified time , cost and resource constraints fit the the system we are planning to develop.</t>
        </is>
      </c>
    </row>
    <row r="7" ht="60" customHeight="1">
      <c r="B7" s="7">
        <f>DATE(2026,9,8)</f>
        <v/>
      </c>
      <c r="C7" s="8" t="inlineStr">
        <is>
          <t>Ethan Lindsay</t>
        </is>
      </c>
      <c r="D7" s="8" t="inlineStr">
        <is>
          <t>Claude</t>
        </is>
      </c>
      <c r="E7" s="8" t="inlineStr">
        <is>
          <t>Problem &amp; business need section</t>
        </is>
      </c>
      <c r="F7" s="8" t="inlineStr">
        <is>
          <t>Drafted PED section 2</t>
        </is>
      </c>
      <c r="G7" s="8" t="inlineStr">
        <is>
          <t>Verified that the content made logical sense with reguards to the project brief and ensured that the all expectations have been met for this document.</t>
        </is>
      </c>
      <c r="H7" s="8" t="inlineStr">
        <is>
          <t>Accepted with deep analysis.</t>
        </is>
      </c>
    </row>
    <row r="8" ht="45" customHeight="1">
      <c r="B8" s="7">
        <f>DATE(2026,9,8)</f>
        <v/>
      </c>
      <c r="C8" s="8" t="inlineStr">
        <is>
          <t>Ethan Lindsay</t>
        </is>
      </c>
      <c r="D8" s="8" t="inlineStr">
        <is>
          <t>Claude</t>
        </is>
      </c>
      <c r="E8" s="8" t="inlineStr">
        <is>
          <t>Redesign Spread sheets</t>
        </is>
      </c>
      <c r="F8" s="8" t="inlineStr">
        <is>
          <t xml:space="preserve">Reorganized and beautified the spreadsheets to ensure consistency. </t>
        </is>
      </c>
      <c r="G8" s="8" t="inlineStr">
        <is>
          <t>Verified that no data was changed and that only formatting was applied for structure and simplicity.</t>
        </is>
      </c>
      <c r="H8" s="8" t="inlineStr">
        <is>
          <t>Accepted with open arms.</t>
        </is>
      </c>
    </row>
    <row r="9" ht="60" customHeight="1">
      <c r="B9" s="7">
        <f>DATE(2026,9,9)</f>
        <v/>
      </c>
      <c r="C9" s="8" t="inlineStr">
        <is>
          <t>Ethan Lindsay</t>
        </is>
      </c>
      <c r="D9" s="8" t="inlineStr">
        <is>
          <t>Claude</t>
        </is>
      </c>
      <c r="E9" s="8" t="inlineStr">
        <is>
          <t>Additional constraints from client instruction (CON-009–CON-019)</t>
        </is>
      </c>
      <c r="F9" s="8" t="inlineStr">
        <is>
          <t>Drafted 11 constraints with engineering implications, interactions and trade-off summaries from verbal client instructions</t>
        </is>
      </c>
      <c r="G9" s="8" t="inlineStr">
        <is>
          <t>Verified that the contraints given verbally aligned with the generated draft and that all constraits were viable</t>
        </is>
      </c>
      <c r="H9" s="8" t="inlineStr">
        <is>
          <t>Accepted, Reviwed thouroughly and happy with the result.</t>
        </is>
      </c>
    </row>
    <row r="10" ht="60" customHeight="1">
      <c r="B10" s="7">
        <f>DATE(2026,9,9)</f>
        <v/>
      </c>
      <c r="C10" s="8" t="inlineStr">
        <is>
          <t>Ethan Lindsay</t>
        </is>
      </c>
      <c r="D10" s="8" t="inlineStr">
        <is>
          <t>Claude</t>
        </is>
      </c>
      <c r="E10" s="8" t="inlineStr">
        <is>
          <t>Decision log entries DEC-008, DEC-009 and the DEC-007 revision</t>
        </is>
      </c>
      <c r="F10" s="8" t="inlineStr">
        <is>
          <t>Drafted the branching-model decision, the verbal-requirement capture process, and the revision recording the change of basis for the mobile exclusion</t>
        </is>
      </c>
      <c r="G10" s="8" t="inlineStr">
        <is>
          <t>Verified the updated decision given that one of our constraints changed and ensure that newly added decisions were agreed aponby the whole team.</t>
        </is>
      </c>
      <c r="H10" s="8" t="inlineStr">
        <is>
          <t>Accepted, all decisions make logical sense and align with the projects deliverables.</t>
        </is>
      </c>
    </row>
    <row r="11" ht="75" customHeight="1">
      <c r="B11" s="7">
        <f>DATE(2026,9,9)</f>
        <v/>
      </c>
      <c r="C11" s="8" t="inlineStr">
        <is>
          <t>Ethan Lindsay</t>
        </is>
      </c>
      <c r="D11" s="8" t="inlineStr">
        <is>
          <t>Claude</t>
        </is>
      </c>
      <c r="E11" s="9" t="inlineStr">
        <is>
          <t>Reference sourcing for the PED</t>
        </is>
      </c>
      <c r="F11" s="8" t="inlineStr">
        <is>
          <t>Located and formatted six sources; identified that the 44 × 44 touch target in NFR-1.2 is Apple's HIG figure, not the WCAG 2.2 Level AA minimum of 24 × 24 (SC 2.5.8)</t>
        </is>
      </c>
      <c r="G11" s="8" t="inlineStr">
        <is>
          <t>Checked the WCAG criterion numbers and levels against W3C directly; confirmed ISO/IEC 25010:2023 supersedes the 2011 edition and renames portability to flexibility</t>
        </is>
      </c>
      <c r="H11" s="8" t="inlineStr">
        <is>
          <t>Accepted; NFR-1.2 basis corrected to cite Apple rather than WCAG, and the Charter's quality mapping updated to the 2023 characteristic names, also verified relevent and accurate resources.</t>
        </is>
      </c>
    </row>
    <row r="12" ht="60" customHeight="1">
      <c r="B12" s="7">
        <f>DATE(2026,9,9)</f>
        <v/>
      </c>
      <c r="C12" s="8" t="inlineStr">
        <is>
          <t>Ethan Lindsay</t>
        </is>
      </c>
      <c r="D12" s="8" t="inlineStr">
        <is>
          <t>Claude</t>
        </is>
      </c>
      <c r="E12" s="8" t="inlineStr">
        <is>
          <t>PED v1.0 assembly</t>
        </is>
      </c>
      <c r="F12" s="8" t="inlineStr">
        <is>
          <t>Drafted the full 13-section document structure, narrative for each section, and the appendices, from the team's existing registers</t>
        </is>
      </c>
      <c r="G12" s="8" t="inlineStr">
        <is>
          <t>Verified that all combined content was relevant and accurate to the artefacts done by all 3 memebers.</t>
        </is>
      </c>
      <c r="H12" s="8" t="inlineStr">
        <is>
          <t>Accepted, The PED draft was structured perfectly and flowed accurately to display the outputted artifacts we have created.</t>
        </is>
      </c>
    </row>
    <row r="13" ht="45" customHeight="1">
      <c r="B13" s="7">
        <f>DATE(2026,9,9)</f>
        <v/>
      </c>
      <c r="C13" s="8" t="inlineStr">
        <is>
          <t>Ethan Lindsay</t>
        </is>
      </c>
      <c r="D13" s="8" t="inlineStr">
        <is>
          <t>Claude</t>
        </is>
      </c>
      <c r="E13" s="8" t="inlineStr">
        <is>
          <t>Team Working Agreement</t>
        </is>
      </c>
      <c r="F13" s="8" t="inlineStr">
        <is>
          <t>Drafted the agreement, tying §5 review turnaround to RSK-013 and §6 definition of done to RSK-012</t>
        </is>
      </c>
      <c r="G13" s="8" t="inlineStr">
        <is>
          <t xml:space="preserve">Verified that the terms were relevant and reasonable. </t>
        </is>
      </c>
      <c r="H13" s="8" t="inlineStr">
        <is>
          <t>Accepted, The draft demonstrated a structured approach to working as a team and overall read well.</t>
        </is>
      </c>
    </row>
    <row r="14" ht="45" customHeight="1">
      <c r="B14" s="7">
        <f>DATE(2026,9,9)</f>
        <v/>
      </c>
      <c r="C14" s="8" t="inlineStr">
        <is>
          <t>Ethan Lindsay</t>
        </is>
      </c>
      <c r="D14" s="8" t="inlineStr">
        <is>
          <t>Claude</t>
        </is>
      </c>
      <c r="E14" s="8" t="inlineStr">
        <is>
          <t>Baseline conditions C-01 to C-04</t>
        </is>
      </c>
      <c r="F14" s="8" t="inlineStr">
        <is>
          <t>Drafted four conditions with owners, closure criteria and affected artefacts</t>
        </is>
      </c>
      <c r="G14" s="8" t="inlineStr">
        <is>
          <t>Verified that the conditions made sense given the timeline and artefacts we produced.</t>
        </is>
      </c>
      <c r="H14" s="8" t="inlineStr">
        <is>
          <t>Accepted, The 4 drafted conditional acceptances align exactly with the outputs we have created.</t>
        </is>
      </c>
    </row>
    <row r="15" ht="60" customHeight="1">
      <c r="B15" s="7">
        <f>DATE(2026,9,9)</f>
        <v/>
      </c>
      <c r="C15" s="8" t="inlineStr">
        <is>
          <t>Ethan Lindsay</t>
        </is>
      </c>
      <c r="D15" s="8" t="inlineStr">
        <is>
          <t>Claude</t>
        </is>
      </c>
      <c r="E15" s="8" t="inlineStr">
        <is>
          <t>Repository audit prompt</t>
        </is>
      </c>
      <c r="F15" s="8" t="inlineStr">
        <is>
          <t>Drafted a read-only audit prompt for Claude Code to check the repository against the governing briefs</t>
        </is>
      </c>
      <c r="G15" s="8" t="inlineStr">
        <is>
          <t>Ran the audit; verified each finding against the actual files before acting on it — including one finding raised against the PED's own claim about the baseline tag</t>
        </is>
      </c>
      <c r="H15" s="8" t="inlineStr">
        <is>
          <t>Accepted; findings actioned individually rather than wholesale</t>
        </is>
      </c>
    </row>
    <row r="16" ht="60" customHeight="1">
      <c r="B16" s="7">
        <f>DATE(2026,9,9)</f>
        <v/>
      </c>
      <c r="C16" s="8" t="inlineStr">
        <is>
          <t>Ethan Lindsay</t>
        </is>
      </c>
      <c r="D16" s="8" t="inlineStr">
        <is>
          <t>Claude</t>
        </is>
      </c>
      <c r="E16" s="8" t="inlineStr">
        <is>
          <t>Project Charter v0.2 ? v0.3 corrections</t>
        </is>
      </c>
      <c r="F16" s="8" t="inlineStr">
        <is>
          <t>Identified the ISO edition mismatch, the broken D1 deliverable date, missing reference list and blank team names; drafted the §7.1 register reconciliation</t>
        </is>
      </c>
      <c r="G16" s="8" t="inlineStr">
        <is>
          <t>Verified , This was and oversight by myself and glad that claude was able to pick up the mistake and assist me in correcting it.</t>
        </is>
      </c>
      <c r="H16" s="8" t="inlineStr">
        <is>
          <t>Accepted, Thank you claude :)</t>
        </is>
      </c>
    </row>
    <row r="17" ht="102" customHeight="1">
      <c r="B17" s="10" t="inlineStr">
        <is>
          <t>07 Sept 2026</t>
        </is>
      </c>
      <c r="C17" s="10" t="inlineStr">
        <is>
          <t>Christiaan Burger</t>
        </is>
      </c>
      <c r="D17" s="10" t="inlineStr">
        <is>
          <t>Claude</t>
        </is>
      </c>
      <c r="E17" s="10" t="inlineStr">
        <is>
          <t>Risk Register construction and scoring method</t>
        </is>
      </c>
      <c r="F17" s="10" t="inlineStr">
        <is>
          <t>Drafted 13 candidate project-specific risks derived from the Master Brief s.2 failures and the team's scope, constraint and decision artefacts, each with cause, early-warning indicator, preventive mitigation and contingency. Drafted the probability and impact scale definitions and the 1–2 / 3–4 / 6–9 priority bands.</t>
        </is>
      </c>
      <c r="G17" s="10" t="inlineStr">
        <is>
          <t>Verified that the scoring method aligned with taught methods during PMM381 and ensured that all drafted risk were real and accurate risks.</t>
        </is>
      </c>
      <c r="H17" s="10" t="inlineStr">
        <is>
          <t>Accepted and changed , The risks were aligned with real project risks but the method used for calculations was off , corrected it with knowledge gained from PMM 381</t>
        </is>
      </c>
    </row>
    <row r="18" ht="127.5" customHeight="1">
      <c r="B18" s="10" t="inlineStr">
        <is>
          <t>07 Sept 2026</t>
        </is>
      </c>
      <c r="C18" s="10" t="inlineStr">
        <is>
          <t>Christiaan Burger</t>
        </is>
      </c>
      <c r="D18" s="10" t="inlineStr">
        <is>
          <t>Claude</t>
        </is>
      </c>
      <c r="E18" s="10" t="inlineStr">
        <is>
          <t>Forward Engineering Considerations register</t>
        </is>
      </c>
      <c r="F18" s="10" t="inlineStr">
        <is>
          <t>Drafted 7 forward concerns (security and personal information, migration and cut-over, testability, technology availability, deployment platform, observability, operational cost), each recording why it matters now, the later decision influenced, information still missing and the risk of ignoring it. Drafted the influence mapping showing what each changed in the M1 baseline.</t>
        </is>
      </c>
      <c r="G18" s="11" t="inlineStr">
        <is>
          <t>Verified that the 7 drafted concers made logical sense and verified that these concerns could become greater risks down the line.</t>
        </is>
      </c>
      <c r="H18" s="11" t="inlineStr">
        <is>
          <t>Accepted, The drafted concerns highlighted real concrens that we need to be aware of.</t>
        </is>
      </c>
    </row>
    <row r="19" ht="114.75" customHeight="1">
      <c r="B19" s="10" t="inlineStr">
        <is>
          <t>08 Sept 2026</t>
        </is>
      </c>
      <c r="C19" s="10" t="inlineStr">
        <is>
          <t>Christiaan Burger</t>
        </is>
      </c>
      <c r="D19" s="10" t="inlineStr">
        <is>
          <t>Claude</t>
        </is>
      </c>
      <c r="E19" s="10" t="inlineStr">
        <is>
          <t>Repository placement and register file structure</t>
        </is>
      </c>
      <c r="F19" s="10" t="inlineStr">
        <is>
          <t>Argued placement of the risk and FEC registers against the Appendix C folder semantics, and recommended keeping them as two separate workbooks rather than one, on the ground that .xlsx is a binary blob git cannot merge, so a shared workbook risks losing a member's edits outright. Flagged inconsistent folder casing and the absence of a home for the AI Usage Register.</t>
        </is>
      </c>
      <c r="G19" s="10" t="inlineStr">
        <is>
          <t>Checked the recommendation against the team's committed folder structure; adopted the two-file split and placed both registers in docs/risk/.</t>
        </is>
      </c>
      <c r="H19" s="10" t="inlineStr">
        <is>
          <t>Accepted. Two-file split adopted.</t>
        </is>
      </c>
    </row>
    <row r="20" ht="114.75" customHeight="1">
      <c r="B20" s="10" t="inlineStr">
        <is>
          <t>08 Sept 2026</t>
        </is>
      </c>
      <c r="C20" s="10" t="inlineStr">
        <is>
          <t>Christiaan Burger</t>
        </is>
      </c>
      <c r="D20" s="10" t="inlineStr">
        <is>
          <t>Claude</t>
        </is>
      </c>
      <c r="E20" s="10" t="inlineStr">
        <is>
          <t>Branch integration procedure for Member B's work</t>
        </is>
      </c>
      <c r="F20" s="10" t="inlineStr">
        <is>
          <t>Drafted the git command sequence to merge a teammate's branch, including a pre-merge backup branch, --no-ff to force an attributable merge commit, and the binary-conflict resolution path for .xlsx files. Restated the same procedure for GitHub Desktop on request. Advised that the onward merge to dev must be a reviewed pull request, not a direct push.</t>
        </is>
      </c>
      <c r="G20" s="10" t="inlineStr">
        <is>
          <t>Requested the GitHub Desktop form after judging the command-line version unsuitable for the team's workflow. Merge not yet executed at time of logging.</t>
        </is>
      </c>
      <c r="H20" s="10" t="inlineStr">
        <is>
          <t>Accepted as procedure; execution pending.</t>
        </is>
      </c>
    </row>
    <row r="21" ht="178.5" customHeight="1">
      <c r="B21" s="10" t="inlineStr">
        <is>
          <t>09 Sept 2026</t>
        </is>
      </c>
      <c r="C21" s="10" t="inlineStr">
        <is>
          <t>Christiaan Burger</t>
        </is>
      </c>
      <c r="D21" s="10" t="inlineStr">
        <is>
          <t>Claude</t>
        </is>
      </c>
      <c r="E21" s="10" t="inlineStr">
        <is>
          <t>Cross-artefact reconciliation of the registers against the A and B baseline</t>
        </is>
      </c>
      <c r="F21" s="10" t="inlineStr">
        <is>
          <t>Read all ten of Member A's and Member B's artefacts and checked every cross-reference in the risk and FEC registers against them. Identified that RSK-004's duplicate-detection mitigation has no corresponding requirement among the 47 FRs; that the mitigations behind RSK-009, RSK-010 and RSK-011 had since been delivered by Member B and were still written as future actions; that the SCP-, CFL- and OI- prefixes in use are absent from the PED s.1.5 identifier scheme while DEF- and ASM- are declared but unused; and that three FRs and one NFR remain un-baselined.</t>
        </is>
      </c>
      <c r="G21" s="10" t="inlineStr">
        <is>
          <t>Challenged the completeness of the FEC portion of the analysis and required a second pass, which produced four further changes that the first pass had missed.</t>
        </is>
      </c>
      <c r="H21" s="10" t="inlineStr">
        <is>
          <t>Accepted with corrections after a second pass.</t>
        </is>
      </c>
    </row>
    <row r="22" ht="127.5" customHeight="1">
      <c r="B22" s="10" t="inlineStr">
        <is>
          <t>09 Sept 2026</t>
        </is>
      </c>
      <c r="C22" s="10" t="inlineStr">
        <is>
          <t>Christiaan Burger</t>
        </is>
      </c>
      <c r="D22" s="10" t="inlineStr">
        <is>
          <t>Claude</t>
        </is>
      </c>
      <c r="E22" s="10" t="inlineStr">
        <is>
          <t>Repair of the Risk Register calculation chain</t>
        </is>
      </c>
      <c r="F22" s="10" t="inlineStr">
        <is>
          <t>Diagnosed the #REF! errors in the Priority and matrix cells as a severed external workbook link to the FEC file, created when the combined workbook was split. Repaired the formulas and removed the external link. The first repair produced a file Excel refused to open — a dangling relationship written by the library used to re-save the workbook; rebuilt by editing the file's XML directly so the original structure was preserved.</t>
        </is>
      </c>
      <c r="G22" s="10" t="inlineStr">
        <is>
          <t>Opened the first repaired file in Excel, found it reported corrupt content and reported the failure rather than accepting the output. Confirmed the rebuilt file opens and that the resulting distribution matches the register.</t>
        </is>
      </c>
      <c r="H22" s="10" t="inlineStr">
        <is>
          <t>Rejected on first attempt; accepted after rework.</t>
        </is>
      </c>
    </row>
    <row r="23" ht="114.75" customHeight="1">
      <c r="B23" s="10" t="inlineStr">
        <is>
          <t>09 Sept 2026</t>
        </is>
      </c>
      <c r="C23" s="10" t="inlineStr">
        <is>
          <t>Christiaan Burger</t>
        </is>
      </c>
      <c r="D23" s="10" t="inlineStr">
        <is>
          <t>Claude</t>
        </is>
      </c>
      <c r="E23" s="10" t="inlineStr">
        <is>
          <t>FEC register traceability to the requirements baseline</t>
        </is>
      </c>
      <c r="F23" s="10" t="inlineStr">
        <is>
          <t>Populated the 'Linked FR / NFR / RSK' column, which cited no FR or NFR at all, with mappings to Member B's requirements; recorded FEC-002 as having no requirement coverage, with the reason, rather than leaving it blank. Named the owner, differentiated the status values, and updated the influence-sheet asks against what A and B had actually delivered.</t>
        </is>
      </c>
      <c r="G23" s="10" t="inlineStr">
        <is>
          <t xml:space="preserve">Verified and updated the column to show accurate content and ensured that the link was accurate. </t>
        </is>
      </c>
      <c r="H23" s="10" t="inlineStr">
        <is>
          <t>Accepted. Guidance was appreciated.</t>
        </is>
      </c>
    </row>
    <row r="24" ht="89.25" customHeight="1">
      <c r="B24" s="10" t="inlineStr">
        <is>
          <t>09 Sept 2026</t>
        </is>
      </c>
      <c r="C24" s="10" t="inlineStr">
        <is>
          <t>Christiaan Burger</t>
        </is>
      </c>
      <c r="D24" s="10" t="inlineStr">
        <is>
          <t>Claude</t>
        </is>
      </c>
      <c r="E24" s="10" t="inlineStr">
        <is>
          <t>GitHub governance evidence capture plan</t>
        </is>
      </c>
      <c r="F24" s="10" t="inlineStr">
        <is>
          <t>Drafted the ordered list of branch-protection and review evidence to capture, the framing requirements for each screenshot, and the storage and naming convention. Advised capturing the blocked-merge state first on the ground that it cannot be reconstructed once a pull request is approved.</t>
        </is>
      </c>
      <c r="G24" s="10" t="inlineStr">
        <is>
          <t xml:space="preserve">Ensured that the proposed solutions were standard and best practice. </t>
        </is>
      </c>
      <c r="H24" s="10" t="inlineStr">
        <is>
          <t xml:space="preserve">Accepted, used the drafted order list to strusture the current repo to comply with governance. </t>
        </is>
      </c>
    </row>
    <row r="25" ht="63.75" customHeight="1">
      <c r="B25" s="10" t="inlineStr">
        <is>
          <t>09 Sept 2026</t>
        </is>
      </c>
      <c r="C25" s="10" t="inlineStr">
        <is>
          <t>Christiaan Burger</t>
        </is>
      </c>
      <c r="D25" s="10" t="inlineStr">
        <is>
          <t>Claude</t>
        </is>
      </c>
      <c r="E25" s="10" t="inlineStr">
        <is>
          <t>Audit of Member C deliverables against the milestone brief</t>
        </is>
      </c>
      <c r="F25" s="10" t="inlineStr">
        <is>
          <t>Checked each Member C requirement in the brief against the current artefacts and reported which were met, which were not, and which could not be verified without repository access.</t>
        </is>
      </c>
      <c r="G25" s="10" t="inlineStr">
        <is>
          <t xml:space="preserve">Verified that the proposed requirements were actually in the Master brief and ensured that they related to the tasks I was assigned to. </t>
        </is>
      </c>
      <c r="H25" s="10" t="inlineStr">
        <is>
          <t>Accepted, Used the audit to ensure all needed outputs were created.</t>
        </is>
      </c>
    </row>
    <row r="26" ht="153" customHeight="1">
      <c r="B26" s="10" t="inlineStr">
        <is>
          <t>09 Sept 2026</t>
        </is>
      </c>
      <c r="C26" s="10" t="inlineStr">
        <is>
          <t>Christiaan Burger</t>
        </is>
      </c>
      <c r="D26" s="10" t="inlineStr">
        <is>
          <t>Claude</t>
        </is>
      </c>
      <c r="E26" s="10" t="inlineStr">
        <is>
          <t>Conversion of risk scoring to a numeric 1–3 scale</t>
        </is>
      </c>
      <c r="F26" s="10" t="inlineStr">
        <is>
          <t>Replaced the lookup-based Priority formula with direct multiplication and converted the probability and impact columns to numeric values, at the team's request following peer review. Updated the exposure matrix criteria, which would otherwise have silently returned zero counts rather than erroring. Converted the exposure matrix to a P×I score grid and added a separate grid retaining the risk counts. Stored the calculated results in the file after the first attempt left the cells blank.</t>
        </is>
      </c>
      <c r="G26" s="10" t="inlineStr">
        <is>
          <t>Specified the change following a team member's review of the register. Identified that the Priority and count cells rendered blank in Excel after the first attempt and required the results to be stored rather than recalculated on open.</t>
        </is>
      </c>
      <c r="H26" s="10" t="inlineStr">
        <is>
          <t>Accepted after rework.</t>
        </is>
      </c>
    </row>
    <row r="27" ht="105" customHeight="1">
      <c r="B27" s="10" t="inlineStr">
        <is>
          <t>09 Sept 2026</t>
        </is>
      </c>
      <c r="C27" s="8" t="inlineStr">
        <is>
          <t>Robert Van Der Merwe</t>
        </is>
      </c>
      <c r="D27" s="10" t="inlineStr">
        <is>
          <t>Claude</t>
        </is>
      </c>
      <c r="E27" s="8" t="inlineStr">
        <is>
          <t>Requirements Baseline Generation</t>
        </is>
      </c>
      <c r="F27" s="8" t="inlineStr">
        <is>
          <t>Derived 49 functional and 30 non-functional requirements from Member A's STK/CFL/SCP/CON/DEC identifiers, with 80 Given/When/Then acceptance criteria and the 9-column RTM. Flagged three gaps where a Master Brief capability had no SCP to trace to.</t>
        </is>
      </c>
      <c r="G27" s="8" t="inlineStr">
        <is>
          <t>I supplied the SAD slide definitions after Claude declined to guess the format, and confirmed the SCP-017/018/019 renumbering was a deliberate controlled change. The constraint-to-NFR mapping check remains outstanding.</t>
        </is>
      </c>
      <c r="H27" s="8" t="inlineStr">
        <is>
          <t>Accepted; every requirement traces to a Member A identifier and the append-only numbering preserves stability into M2.</t>
        </is>
      </c>
    </row>
    <row r="28" ht="120" customHeight="1">
      <c r="B28" s="10" t="inlineStr">
        <is>
          <t>09 Sept 2026</t>
        </is>
      </c>
      <c r="C28" s="8" t="inlineStr">
        <is>
          <t>Robert Van Der Merwe</t>
        </is>
      </c>
      <c r="D28" s="10" t="inlineStr">
        <is>
          <t>Claude</t>
        </is>
      </c>
      <c r="E28" s="8" t="inlineStr">
        <is>
          <t>Project Charter Math</t>
        </is>
      </c>
      <c r="F28" s="8" t="inlineStr">
        <is>
          <t>Calculated COCOMO Organic (15 kLOC, 41.22 person-months) and PERT estimates, identified the 5.57-week schedule deficit, and derived the 6.39× productivity multiplier needed to close it. Drafted the 29 September velocity trigger with an automatic CON-009 scope-reduction fallback.</t>
        </is>
      </c>
      <c r="G28" s="8" t="inlineStr">
        <is>
          <t>I selected Organic mode and supplied the milestone dates that collapsed the window to 5.57 weeks. I have not yet recalculated the path variances or COCOMO multipliers, and the PERT summation error was caught by Claude rather than by me.</t>
        </is>
      </c>
      <c r="H28" s="8" t="inlineStr">
        <is>
          <t>Accepted with the correction; I retained the productivity re-baseline and Claude attached a measurement trigger instead of a certainty claim.</t>
        </is>
      </c>
    </row>
    <row r="29" ht="120" customHeight="1">
      <c r="B29" s="10" t="inlineStr">
        <is>
          <t>09 Sept 2026</t>
        </is>
      </c>
      <c r="C29" s="8" t="inlineStr">
        <is>
          <t>Robert Van Der Merwe</t>
        </is>
      </c>
      <c r="D29" s="10" t="inlineStr">
        <is>
          <t>Claude</t>
        </is>
      </c>
      <c r="E29" s="8" t="inlineStr">
        <is>
          <t>Financial Viability</t>
        </is>
      </c>
      <c r="F29" s="8" t="inlineStr">
        <is>
          <t>Modelled two investment cases: full commercial cost (NPV -R1 035 555 at 3 years, payback 66.5 months) and incremental institutional cost (NPV +R784 341, payback 2.09 months). Flagged that CON-010's 100 concurrent users conflicts with the 3 000 requests/year benefit assumption.</t>
        </is>
      </c>
      <c r="G29" s="8" t="inlineStr">
        <is>
          <t>I selected the combined benefit basis of staff time saved plus avoided licence cost. Checking the payback interpolation against the PMM281 formula sheet is outstanding, as Claude flagged its reading of Cp, Ci and Cf as an unconfirmed interpretation.</t>
        </is>
      </c>
      <c r="H29" s="8" t="inlineStr">
        <is>
          <t>Accepted for review; Case A is retained despite being unflattering because it is the institution's real exposure after the project ends.</t>
        </is>
      </c>
    </row>
    <row r="30" ht="120" customHeight="1">
      <c r="B30" s="10" t="inlineStr">
        <is>
          <t>09 Sept 2026</t>
        </is>
      </c>
      <c r="C30" s="8" t="inlineStr">
        <is>
          <t>Robert Van Der Merwe</t>
        </is>
      </c>
      <c r="D30" s="10" t="inlineStr">
        <is>
          <t>Claude</t>
        </is>
      </c>
      <c r="E30" s="8" t="inlineStr">
        <is>
          <t>Risk Register Consolidation</t>
        </is>
      </c>
      <c r="F30" s="8" t="inlineStr">
        <is>
          <t>Audited Member C's 13 risks against the 09 September constraints and added 10 covering schedule capacity, the AI productivity assumption and the 22 September stack deadline. Built the ordinal-to-monetary bridge so the charter's RE and RRL are reproducible from C's register.</t>
        </is>
      </c>
      <c r="G30" s="8" t="inlineStr">
        <is>
          <t>Verified; Cross reference checked with Member C that ten added risks aligned with project outputs and realistic risk expectations</t>
        </is>
      </c>
      <c r="H30" s="8" t="inlineStr">
        <is>
          <t>Accepted; Member C verfied accuracy and consistency among the proposed risks added.</t>
        </is>
      </c>
    </row>
    <row r="31" ht="120" customHeight="1">
      <c r="B31" s="10">
        <f>DATE(2026,9,29)</f>
        <v/>
      </c>
      <c r="C31" s="8" t="inlineStr">
        <is>
          <t>Robert Van Der Merwe</t>
        </is>
      </c>
      <c r="D31" s="10" t="inlineStr">
        <is>
          <t>Claude Code (Claude Opus 5.5)</t>
        </is>
      </c>
      <c r="E31" s="8" t="inlineStr">
        <is>
          <t>Data and persistence baseline generation (M2 criterion C)</t>
        </is>
      </c>
      <c r="F31" s="8" t="inlineStr">
        <is>
          <t>Drafted the data baseline: entity/ownership table, Mongoose schemas for requests, requestHistory, notifications, reportingCounts, auditLog, users/roles/groups/categories; append-only constraint DB-01 at three layers; index justifications; storage and throughput arithmetic against free-cluster limits.</t>
        </is>
      </c>
      <c r="G31" s="8" t="inlineStr">
        <is>
          <t>Manual inspection against MongoDB documentation and project constraints (Master Brief, M2 brief, Assignment 2, baselined registers). Free-cluster limits and trigger semantics checked against the MongoDB Atlas documentation pages; append-only guard behaviour tested with a no-database probe against mongoose 8.24.4; bulkWrite hook verified to block updates and pass inserts.</t>
        </is>
      </c>
      <c r="H31" s="8" t="inlineStr">
        <is>
          <t>Accepted with modifications: collection names kept as in the DEC-011 component diagram; status values, roles and mandatory fields aligned to FR-6.1, FR-1.2 and FR-2.2 rather than to the existing code.</t>
        </is>
      </c>
      <c r="I31" s="8" t="inlineStr">
        <is>
          <t>Probe showed bulkWrite and Model.collection bypass the schema guard (review comment R-11), which added database-role layer 3. Assignment 2's premise that triggers run inside the transaction holds for SQL but not Atlas; recorded as a divergence in DEC-016.</t>
        </is>
      </c>
    </row>
    <row r="32" ht="120" customHeight="1">
      <c r="B32" s="10">
        <f>DATE(2026,9,29)</f>
        <v/>
      </c>
      <c r="C32" s="8" t="inlineStr">
        <is>
          <t>Robert Van Der Merwe</t>
        </is>
      </c>
      <c r="D32" s="10" t="inlineStr">
        <is>
          <t>Claude Code (Claude Opus 5.5)</t>
        </is>
      </c>
      <c r="E32" s="8" t="inlineStr">
        <is>
          <t>ADR drafting: DEC-003, DEC-010, DEC-015, DEC-016, DEC-017; PROC-001; CR-001 to CR-004</t>
        </is>
      </c>
      <c r="F32" s="8" t="inlineStr">
        <is>
          <t>Drafted five decision records, the manual anonymisation procedure with its mongosh script, the backup/restore scripts and four change requests.</t>
        </is>
      </c>
      <c r="G32" s="8" t="inlineStr">
        <is>
          <t>Manual inspection against MongoDB documentation and project constraints (Master Brief, M2 brief, Assignment 2, baselined registers). Idempotency-Key semantics checked against IETF draft-ietf-httpapi-idempotency-key-header-07; POPIA s.14 retention exception checked against published commentary; RFC 9110 status semantics reviewed.</t>
        </is>
      </c>
      <c r="H32" s="8" t="inlineStr">
        <is>
          <t>Accepted with modifications made by me: 'bi-monthly' confirmed as twice monthly (14-30 day anonymisation window); Node runtime set to 22 minimum (&gt;=22.0.0) instead of the AI-proposed Node 24; 12-hour backup cadence and free-cluster retention confirmed.</t>
        </is>
      </c>
      <c r="I32" s="8" t="inlineStr">
        <is>
          <t>AI identified that an every-two-months schedule could not satisfy the 30-day rule, and that FR-6.7 conflicts with anonymisation (raised as OI-13 / CR-003).</t>
        </is>
      </c>
    </row>
    <row r="33" ht="120" customHeight="1">
      <c r="B33" s="10">
        <f>DATE(2026,9,29)</f>
        <v/>
      </c>
      <c r="C33" s="8" t="inlineStr">
        <is>
          <t>Robert Van Der Merwe</t>
        </is>
      </c>
      <c r="D33" s="10" t="inlineStr">
        <is>
          <t>Claude Code (Claude Opus 5.5)</t>
        </is>
      </c>
      <c r="E33" s="8" t="inlineStr">
        <is>
          <t>RTM updates (v0.4 to v0.5)</t>
        </is>
      </c>
      <c r="F33" s="8" t="inlineStr">
        <is>
          <t>Populated the data/persistence column for all 62 outstanding rows, corrected 10 populated cells, added DEC-015/016/017 design and ADR references; generated the v0.5 xlsx and CSV by script.</t>
        </is>
      </c>
      <c r="G33" s="8" t="inlineStr">
        <is>
          <t>Manual inspection against MongoDB documentation and project constraints (Master Brief, M2 brief, Assignment 2, baselined registers). Script asserted zero remaining 'Pending - data model' cells and 79 rows; spot-checked FR-2.2, FR-6.7, NFR-1.4 and NFR-4.2 in the output.</t>
        </is>
      </c>
      <c r="H33" s="8" t="inlineStr">
        <is>
          <t>Accepted.</t>
        </is>
      </c>
      <c r="I33" s="8" t="inlineStr">
        <is>
          <t>Handover stated 17 of 62 rows (I had assumed 45 remaining); direct count showed 62 outstanding of 79. Two populated cells (FR-2.6, NFR-3.2) held text copied from other rows. AI's change notes initially overstated design entries (30 rows); corrected to 18.</t>
        </is>
      </c>
    </row>
    <row r="34" ht="120" customHeight="1">
      <c r="B34" s="10">
        <f>DATE(2026,9,29)</f>
        <v/>
      </c>
      <c r="C34" s="8" t="inlineStr">
        <is>
          <t>Robert Van Der Merwe</t>
        </is>
      </c>
      <c r="D34" s="10" t="inlineStr">
        <is>
          <t>Claude Code (Claude Opus 5.5)</t>
        </is>
      </c>
      <c r="E34" s="8" t="inlineStr">
        <is>
          <t>Engineering review of Ethan's application slice (PRs #57, #58, #60)</t>
        </is>
      </c>
      <c r="F34" s="8" t="inlineStr">
        <is>
          <t>Produced 22 review comments (R-01 to R-22) with file and line anchors; compiled into docs/M2_BACKEND_CORRECTIONS.md.</t>
        </is>
      </c>
      <c r="G34" s="8" t="inlineStr">
        <is>
          <t>Manual inspection against MongoDB documentation and project constraints (Master Brief, M2 brief, Assignment 2, baselined registers). Ran npm install and npm test (16 passing, 1 file failing on import); inspected each cited line; confirmed requirement wording in the registers.</t>
        </is>
      </c>
      <c r="H34" s="8" t="inlineStr">
        <is>
          <t>Accepted with one point rejected: the AI suggested the PRs may have merged without two approvals; I confirmed both reviewers approved, and the governance remark was removed.</t>
        </is>
      </c>
      <c r="I34" s="8" t="inlineStr">
        <is>
          <t>Found router and guard committed under tests/ (dev broken), status/role/mandatory-field mismatches with FR-6.1/FR-1.2/FR-2.2, and non-atomic status change and history write (DEC-016).</t>
        </is>
      </c>
    </row>
    <row r="35" ht="120" customHeight="1">
      <c r="B35" s="10">
        <f>DATE(2026,9,30)</f>
        <v/>
      </c>
      <c r="C35" s="8" t="inlineStr">
        <is>
          <t>Robert Van Der Merwe</t>
        </is>
      </c>
      <c r="D35" s="10" t="inlineStr">
        <is>
          <t>Claude Code (Claude Opus 5.5)</t>
        </is>
      </c>
      <c r="E35" s="8" t="inlineStr">
        <is>
          <t>Build structure fixes, repository integration and configuration management</t>
        </is>
      </c>
      <c r="F35" s="8" t="inlineStr">
        <is>
          <t>Moved requestRoutes.js and authorise.js from tests/ to src/; set engines to &gt;=22.0.0; extracted scripts to scripts/; created Decision Log v0.5, Risk Register V0.5, Open Items v0.3, Acceptance Criteria v0.3, NFR v0.3, PED v1.6; archived superseded versions; wrote the version audit report.</t>
        </is>
      </c>
      <c r="G35" s="8" t="inlineStr">
        <is>
          <t>Manual inspection against MongoDB documentation and project constraints (Master Brief, M2 brief, Assignment 2, baselined registers). npm test 23/23 after the move; npm install on Node 26 without EBADENGINE; bash -n and node --check on scripts; register workbooks re-read to confirm rows, formulas and merged cells.</t>
        </is>
      </c>
      <c r="H35" s="8" t="inlineStr">
        <is>
          <t>Accepted with modifications made by me: PED renamed from v2.0 to v1.6 and Open Items from v0.4 to v0.3 under the team versioning rules (X.0 reserved for signed-off baselines).</t>
        </is>
      </c>
      <c r="I35" s="8" t="inlineStr">
        <is>
          <t>AI noted .nvmrc cannot hold a semver range (kept at 22); the NFR register still showed NFR-4.2 as blocked though the PED cited v0.3; the archived 'v0.2' Open Items file already carried v0.3 content.</t>
        </is>
      </c>
    </row>
    <row r="36" ht="120" customHeight="1">
      <c r="B36" s="10">
        <f>DATE(2026,9,30)</f>
        <v/>
      </c>
      <c r="C36" s="8" t="inlineStr">
        <is>
          <t>Robert Van Der Merwe</t>
        </is>
      </c>
      <c r="D36" s="10" t="inlineStr">
        <is>
          <t>Claude Code (Claude Opus 5.5)</t>
        </is>
      </c>
      <c r="E36" s="8" t="inlineStr">
        <is>
          <t>Mongoose model alignment, M2 completion audit and PR description</t>
        </is>
      </c>
      <c r="F36" s="8" t="inlineStr">
        <is>
          <t>Updated src/models to match the data baseline (campusId, version/ETag field, baseline status and role sets, additional baseline collections) with model tests; drafted docs/M2_PERSON_B_AUDIT.md and docs/PR_DESCRIPTION_DRAFT.md.</t>
        </is>
      </c>
      <c r="G36" s="8" t="inlineStr">
        <is>
          <t>Manual inspection against MongoDB documentation and project constraints (Master Brief, M2 brief, Assignment 2, baselined registers). tests/models.test.js: 16 assertions (FR-6.1 and FR-1.2 value sets, FR-2.2 mandatory fields, campusId, anonymised validity, append-only refusal of six mutation paths incl. bulkWrite, role validation); full suite 39/39.</t>
        </is>
      </c>
      <c r="H36" s="8" t="inlineStr">
        <is>
          <t>Accepted; model/domain status mismatch left for Ethan's R-07 correction and disclosed in the PR description.</t>
        </is>
      </c>
      <c r="I36" s="8" t="inlineStr">
        <is>
          <t>Aligning the models to FR-6.1 makes the model disagree with src/domain/requestStatus.js until R-07 is fixed; flagged as a merge dependency.</t>
        </is>
      </c>
    </row>
    <row r="37">
      <c r="B37" s="7" t="n"/>
      <c r="C37" s="8" t="n"/>
      <c r="D37" s="8" t="n"/>
      <c r="E37" s="8" t="n"/>
      <c r="F37" s="8" t="n"/>
      <c r="G37" s="8" t="n"/>
      <c r="H37" s="8" t="n"/>
    </row>
    <row r="38">
      <c r="B38" s="7" t="n"/>
      <c r="C38" s="8" t="n"/>
      <c r="D38" s="8" t="n"/>
      <c r="E38" s="8" t="n"/>
      <c r="F38" s="8" t="n"/>
      <c r="G38" s="8" t="n"/>
      <c r="H38" s="8" t="n"/>
    </row>
  </sheetData>
  <mergeCells count="1">
    <mergeCell ref="B1:H1"/>
  </mergeCells>
  <conditionalFormatting sqref="B3:H38">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ethan lindsay</dc:creator>
  <dcterms:created xsi:type="dcterms:W3CDTF">2026-09-08T21:43:35Z</dcterms:created>
  <dcterms:modified xsi:type="dcterms:W3CDTF">2026-09-30T00:25:37Z</dcterms:modified>
  <cp:lastModifiedBy>Robert Roelof Van Der Merwe</cp:lastModifiedBy>
</cp:coreProperties>
</file>