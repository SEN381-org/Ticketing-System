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AI-Usage/AI Usage Register/"/>
    </mc:Choice>
  </mc:AlternateContent>
  <xr:revisionPtr revIDLastSave="55" documentId="13_ncr:1_{A78C0EAD-A1F7-49C1-AB5A-153B36A239C2}" xr6:coauthVersionLast="47" xr6:coauthVersionMax="47" xr10:uidLastSave="{A753D732-E3F2-45CD-92CB-D13D75D4ADC1}"/>
  <bookViews>
    <workbookView xWindow="-108" yWindow="-108" windowWidth="30936" windowHeight="17496" xr2:uid="{00000000-000D-0000-FFFF-FFFF00000000}"/>
  </bookViews>
  <sheets>
    <sheet name="AI Usage Register" sheetId="1" r:id="rId1"/>
  </sheets>
  <definedNames>
    <definedName name="_xlnm._FilterDatabase" localSheetId="0" hidden="1">'AI Usage Register'!$B$2:$I$185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 l="1"/>
  <c r="B23" i="1"/>
  <c r="B24" i="1"/>
  <c r="B25" i="1"/>
  <c r="B26" i="1"/>
  <c r="B27" i="1"/>
  <c r="B28" i="1"/>
  <c r="B29" i="1"/>
  <c r="B30" i="1"/>
  <c r="B21" i="1"/>
  <c r="B12" i="1"/>
  <c r="B11" i="1"/>
  <c r="B4" i="1"/>
  <c r="B3" i="1"/>
  <c r="B82" i="1"/>
  <c r="B78" i="1"/>
  <c r="B77" i="1"/>
  <c r="B76" i="1"/>
  <c r="B75" i="1"/>
  <c r="B74" i="1"/>
  <c r="B73" i="1"/>
  <c r="B67" i="1"/>
  <c r="B66" i="1"/>
  <c r="B65" i="1"/>
  <c r="B64" i="1"/>
  <c r="B81" i="1"/>
  <c r="B80" i="1"/>
  <c r="B79" i="1"/>
  <c r="B63" i="1"/>
  <c r="B61" i="1"/>
  <c r="B60" i="1"/>
  <c r="B20" i="1"/>
  <c r="B19" i="1"/>
  <c r="B18" i="1"/>
  <c r="B17" i="1"/>
  <c r="B16" i="1"/>
  <c r="B15" i="1"/>
  <c r="B14" i="1"/>
  <c r="B13" i="1"/>
  <c r="B10" i="1"/>
  <c r="B9" i="1"/>
  <c r="B8" i="1"/>
  <c r="B7" i="1"/>
  <c r="B6" i="1"/>
  <c r="B5" i="1"/>
</calcChain>
</file>

<file path=xl/sharedStrings.xml><?xml version="1.0" encoding="utf-8"?>
<sst xmlns="http://schemas.openxmlformats.org/spreadsheetml/2006/main" count="541" uniqueCount="381">
  <si>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</si>
  <si>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</si>
  <si>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</si>
  <si>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</si>
  <si>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</si>
  <si>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</si>
  <si>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</si>
  <si>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</si>
  <si>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</si>
  <si>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</si>
  <si>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</si>
  <si>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</si>
  <si>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</si>
  <si>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</si>
  <si>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</si>
  <si>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</si>
  <si>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</si>
  <si>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</si>
  <si>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</si>
  <si>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</si>
  <si>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</si>
  <si>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</si>
  <si>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</si>
  <si>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</si>
  <si>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</si>
  <si>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</si>
  <si>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</si>
  <si>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</si>
  <si>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</si>
  <si>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</si>
  <si>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</si>
  <si>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</si>
  <si>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</si>
  <si>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</si>
  <si>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</si>
  <si>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</si>
  <si>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</si>
  <si>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</si>
  <si>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</si>
  <si>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</si>
  <si>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</si>
  <si>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</si>
  <si>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</si>
  <si>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</si>
  <si>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</si>
  <si>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</si>
  <si>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</si>
  <si>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</si>
  <si>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</si>
  <si>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</si>
  <si>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</si>
  <si>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</si>
  <si>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</si>
  <si>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</si>
  <si>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</si>
  <si>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</si>
  <si>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</si>
  <si>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</si>
  <si>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</si>
  <si>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</si>
  <si>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</si>
  <si>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</si>
  <si>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</si>
  <si>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</si>
  <si>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</si>
  <si>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</si>
  <si>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</si>
  <si>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</si>
  <si>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</si>
  <si>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</si>
  <si>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</si>
  <si>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</si>
  <si>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</si>
  <si>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</si>
  <si>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</si>
  <si>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</si>
  <si>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</si>
  <si>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</si>
  <si>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</si>
  <si>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</si>
  <si>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</si>
  <si>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</si>
  <si>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</si>
  <si>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</si>
  <si>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</si>
  <si>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</si>
  <si>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</si>
  <si>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</si>
  <si>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</si>
  <si>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</si>
  <si>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</si>
  <si>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</si>
  <si>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</si>
  <si>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</si>
  <si>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</si>
  <si>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</si>
  <si>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</si>
  <si>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</si>
  <si>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</si>
  <si>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</si>
  <si>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</si>
  <si>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</si>
  <si>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</si>
  <si>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</si>
  <si>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</si>
  <si>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</si>
  <si>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</si>
  <si>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</si>
  <si>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</si>
  <si>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</si>
  <si>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</si>
  <si>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</si>
  <si>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</si>
  <si>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</si>
  <si>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</si>
  <si>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</si>
  <si>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</si>
  <si>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</si>
  <si>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</si>
  <si>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</si>
  <si>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</si>
  <si>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</si>
  <si>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</si>
  <si>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</si>
  <si>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</si>
  <si>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</si>
  <si>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</si>
  <si>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</si>
  <si>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</si>
  <si>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</si>
  <si>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</si>
  <si>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</si>
  <si>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</si>
  <si>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</si>
  <si>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</si>
  <si>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</si>
  <si>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</si>
  <si>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</si>
  <si>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</si>
  <si>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</si>
  <si>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</si>
  <si>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</si>
  <si>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</si>
  <si>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</si>
  <si>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</si>
  <si>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</si>
  <si>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</si>
  <si>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</si>
  <si>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</si>
  <si>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</si>
  <si>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</si>
  <si>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</si>
  <si>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</si>
  <si>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</si>
  <si>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</si>
  <si>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</si>
  <si>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</si>
  <si>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</si>
  <si>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</si>
  <si>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</si>
  <si>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</si>
  <si>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</si>
  <si>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</si>
  <si>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</si>
  <si>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</si>
  <si>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</si>
  <si>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</si>
  <si>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</si>
  <si>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</si>
  <si>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</si>
  <si>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</si>
  <si>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</si>
  <si>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</si>
  <si>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</si>
  <si>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</si>
  <si>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</si>
  <si>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</si>
  <si>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</si>
  <si>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</si>
  <si>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</si>
  <si>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</si>
  <si>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</si>
  <si>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</si>
  <si>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</si>
  <si>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</si>
  <si>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</si>
  <si>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</si>
  <si>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</si>
  <si>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</si>
  <si>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</si>
  <si>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</si>
  <si>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</si>
  <si>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</si>
  <si>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</si>
  <si>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</si>
  <si>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</si>
  <si>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</si>
  <si>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</si>
  <si>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</si>
  <si>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</si>
  <si>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</si>
  <si>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</si>
  <si>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</si>
  <si>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</si>
  <si>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</si>
  <si>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</si>
  <si>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</si>
  <si>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</si>
  <si>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</si>
  <si>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</si>
  <si>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</si>
  <si>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</si>
  <si>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</si>
  <si>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</si>
  <si>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</si>
  <si>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</si>
  <si>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</si>
  <si>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</si>
  <si>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</si>
  <si>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</si>
  <si>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</si>
  <si>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</si>
  <si>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</si>
  <si>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</si>
  <si>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</si>
  <si>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</si>
  <si>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</si>
  <si>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</si>
  <si>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</si>
  <si>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</si>
  <si>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</si>
  <si>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</si>
  <si>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</si>
  <si>
    <t>Verification tests for FR-6.3 atomicity and FR-6.5</t>
  </si>
  <si>
    <t>Proposed and wrote three tests in tests/statusTransitionService.test.js, after I asked for the assertions to be set out before any code was written</t>
  </si>
  <si>
    <t>Ran npm test (83/83, up from 80). Verified each assertion by breaking the thing it protects and confirming the failure, then reverting: the history write moved outside unitOfWork.run(), the service swallowing the history-write error, and fieldsFor no longer writing resolution.*</t>
  </si>
  <si>
    <t>The existing DEC-016 test asserted only the order of the two writes, so it still passed with the history write moved outside the transaction — the atomicity RTM v0.8 cites this file for was never actually verified. The FR-6.5 resolution.* write had no test at all. Both gaps were in tests I had written earlier and believed were sufficient, and both were found by review rather than by the suite</t>
  </si>
  <si>
    <t>M3 Phase 0 — design review, records and the composition root</t>
  </si>
  <si>
    <t>Interrogated the Phase 0 design through 23 rounds of questions before any code was written. Drafted DEC-018, DB-01 v0.3, DEC-003 v0.2, the Technical Debt Register and the Defect Register. Built the composition root, session middleware, authentication service, session repository and the three public routes, with 132 tests and 26 negative verifications</t>
  </si>
  <si>
    <t>Accepted with changes</t>
  </si>
  <si>
    <t>Four. (1) A proposed idle-expiry tolerance of "30 to 31 minutes" was backwards and would have breached AC-NFR-3.4 by letting a session survive 30:30 of inactivity; corrected to 29–30 minutes before anything was drafted, and now pinned by NV-05. (2) I recorded the FR-1.6 group-permission gap as an open item on the assumption the combination rule was unspecified; DB-01 §3.7 specifies union, so it is an implementation gap and became TD-002. (3) Review of the Risk Register found its band colouring and filter stopped short of RSK-016 to RSK-020, and the OpenAPI contract never listed INTERNAL_ERROR — both logged as DEF-001 and DEF-002 and fixed, with a contract test added so the second cannot recur. (4) The security-category protection holds only because groups carry no roles and the gate checks role first, not because §3.7 prevents it; that constraint is now recorded in TD-002 and enforced by two tests rather than remembered</t>
  </si>
  <si>
    <t>132/132 tests on Node 22 with no new dependencies. Every negative verification was run by breaking the thing the assertion protects, confirming the expected test failed, then restoring and confirming the suite green and src/ unchanged — recorded in docs/evidence/M3-P0/. Each record states what it does not show; NV-08 proves the dummy hash is called, not that timing is equal. Read the seven key files myself before marking the PRs ready for review. DB-01 v0.3 and DEC-003 v0.2 go to R. van der Merwe for owner review rather than approval</t>
  </si>
  <si>
    <t>M3 Phase 0 — smoke run against the Atlas test cluster, and RTM v0.9</t>
  </si>
  <si>
    <t>Ran the SMOKE-01 reachability check against the test cluster and drafted its evidence record; drafted all 37 RTM v0.9 cells and the tab name; ran a cell-by-cell comparison of v0.9 against v0.8; drafted the notice to R. van der Merwe and C. Burger about the cells corrected in their columns</t>
  </si>
  <si>
    <t>Smoke 6/6, exit code 0, as civicconnect-app on Node 22. Cells pasted into the workbook by hand rather than script-written, to protect the formatting and filter; cell references and requirement IDs checked in column A before each paste. The cell-by-cell comparison was run four times; the workbook was not committed until every difference outside the 37 cells was either reverted or confirmed as deliberate</t>
  </si>
  <si>
    <t>Four. (1) The draft evidence file stated that Mongoose's createIndexes "are refused" — the run never observed that, because Mongoose swallows the error; softened to "would be refused under DEC-003 v0.2's grants" before commit. (2) FR-1.1 was drafted as partial although my instruction named only FR-1.4 and NFR-1.4, on the grounds that AC-FR-1.1 requires an authentication prompt and no user interface exists; the challenge was correct and I accepted it. (3) The comparison caught two errors of my own in the Status summary sheet: a formula that made it report 352 requirement rows instead of 79 by summing seven columns' counts, and a stray misspelt "Oustanding" row. Neither would have been visible in review. (4) A summary label reading "evidence completeness 64%" was flagged as overstating, because four of the seven columns are not evidence and the two that are sit at 21.5%; relabelled to "column completeness"</t>
  </si>
  <si>
    <t>M3 §9 CI quality gates — static analysis, dependency audit, CodeQL — and the secret scan's coverage</t>
  </si>
  <si>
    <t>Read the existing CI workflow and reported what it already did before changing it. Drafted the ESLint configuration (defect-catching rules only, no stylistic rules), the dependency-audit and CodeQL jobs and the workflow comments, removed one unused constant found by the new lint check, and opened draft PR #86. Reconciled the Gitleaks "commits scanned" figure against git's commit count by downloading Gitleaks v8.18.4 and scanning each commit on its own. Recommended the layer boundary check for the M3 §9 deliberate failure and ruled out the secret scan. Closed the binary gap the reconciliation exposed: wrote scripts/ci/extract-office-documents.sh, which unzips every committed version of every Office document so Gitleaks can scan its text, and added it to the secret scan job. Removed a duplicate AI Usage Register v0.10 from the live folder</t>
  </si>
  <si>
    <t>npm test 132/132, npm run lint clean, npm audit 0 vulnerabilities, all six checks green on #86. The ESLint config was checked against a seeded snippet: a loose ==, a self-comparison, an undeclared global and ${} in a plain string all failed as intended. The Gitleaks binary was checked against the release checksum before it was run. The rule for which commits Gitleaks does not count was predicted from git independently and matched the 8 commits Gitleaks skipped exactly; a first version of the rule predicted 19 and was rejected. The binary-content gap was confirmed in a throwaway repository, never in the project repository: the same token was missed inside a workbook and found as plain text. The fix was proven the same way. A fake token in a workbook version that was then overwritten, so it existed only in history, was missed by the history scan and found by the extraction step; a workbook that never held a token passed; a token in a non-zip lock file was found. In CI the step extracted all 82 workbook versions in the history with no findings. The duplicate register was confirmed byte-identical to the Oudated copy (same git blob) before it was deleted</t>
  </si>
  <si>
    <t>Accepted with changes. npm audit kept at high rather than moderate, because a gate reporting advisories with no fix path gets ignored or bypassed. The unused constant cleared in the same PR and not logged as a defect, being a lint finding rather than a defect — the Defect Register is for defects. --log-opts added so the scanned range is stated by a flag rather than inferred from a count. The binary-file gap closed within a 20-minute timebox rather than recorded, with a risk entry as the stated fallback had it not been closed; it took three minutes and is proven by the fake-token test. The duplicate v0.10 deleted from the live folder as housekeeping, no defect row. The unplanned CI failure on 4a1b380 cited in the PR body alongside the planned layer-boundary break, as evidence that a required check caught a real mistake nobody arranged</t>
  </si>
  <si>
    <t>Six. (1) My explanation for the 72-against-79 gap, that dev had grown since the CI run, was wrong: the run was triggered on 8728439, which was still dev's head, and dev had 79 non-merge commits at that SHA. Claude checked the count at that SHA instead of accepting the explanation. (2) Claude's own interim explanation, "a steady 7 older commits", was also wrong: 8 commits are uncounted, and the gap looked like 7 because CI also scans one commit on another branch. (3) The first ESLint run reported 17 errors in 4 files; 14 were the configuration's fault (mongosh scripts linted as Node modules) and 2 came from a rule that flags harmless code. The configuration was corrected and the rule dropped, leaving the one real finding. (4) Passing --log-opts="--all --full-history" did not change the count (75 locally with and without it, 75 in CI): it states the range, it does not widen it, because it is already the default. (5) The count is explained (Gitleaks does not count a commit whose only changes are binary edits or deletions; here, 8 .xlsx-only register commits), but the same cause means a secret inside an .xlsx, .docx or .pdf is never detected, in history or in the current tree. The check's name, "Secret scan (full history)", does not reveal that. It was closed for Office documents rather than recorded, by extracting and scanning every workbook version; images remain uncovered, as they are not text containers. (6) Claude's first commit of the extraction script left it non-executable, and the CI run on that commit (4a1b380) failed with "Permission denied", exit code 126. The next commit (bfaafa4) fixed it and passed. Claude's first draft of this entry claimed it had caught the mode before CI ran; it corrected that after checking the run history</t>
  </si>
  <si>
    <t>PR #89 (12/10–13/10/2026): read endpoint GET /api/v1/requests/{id} (provisional, FR-4.2 pending OI-01), thin React client, E2E cases, negative verifications NV-27 to NV-82, register updates, and the pre-merge correction of citations to uncommitted files</t>
  </si>
  <si>
    <t>12/10: drafted the read endpoint (route, query service, the browser-safe shared/domainValues.js) and its tests; the thin client in client/ and tests/clientBoundary.test.js; the Playwright E2E specs and their support module; the sabotage runs and records NV-27 to NV-82; the DEC-019 ADR; the cell text for Open Items v0.6 (OI-17 to OI-19), Technical Debt Register v0.2 (TD-003, TD-004), Defect Register v0.3 (DEF-017) and Decision Log v0.8 (DEC-019); the .gitleaksignore entries; the PR description. 13/10: checked every open PR's head, checks and approvals against the rulesets; reviewed PR #92 and PR #93 against the repository; after R. van der Merwe's review found six files citing local, uncommitted files, searched the whole branch, found the same sources cited under other names in 68 files, repointed 64 to committed sources and published the E2E test plan as docs/quality/M3_E2E_Test_Plan_v0.1.md with its publication edits listed; drafted Decision Log v0.8 G23/H23, OI-20, the Open Items B2 note and the DEC-019 ADR corrections</t>
  </si>
  <si>
    <t>npm test 175 tests, 167 pass, 8 skipped, 0 fail; npm run lint clean. Each NV record shows the named test failing on the sabotage and the file restored to its recorded SHA-256. The local E2E run is recorded (exit code 0; E2E-2b an expected failure with its 422 quoted). The published plan's body was diffed against the original: only the six listed edits differ and §7, which the NV records cite for their predictions, is byte-identical; its last-modified time (17:05 UTC 12/10) precedes the first E2E run (21:22 UTC) and is recorded as a local file time, not a repository record. The NV-55, NV-60 and NV-61 edits were checked in the committed blobs to leave the six fingerprinted hash lines and the line endings unchanged. Workbook cells were pasted by hand and compared cell by cell against the previous version (Decision Log: exactly G23 and H23; Open Items: B2, the new row, the note moved with its merge). CI 6/6 on the final head; after the merge, dev's push-run secret scan was clean and de84ab1 was confirmed in dev's history</t>
  </si>
  <si>
    <t>Accepted with changes. FR-4.2 recorded as provisional, not verified. Merged with a merge commit so that the commit the .gitleaksignore fingerprints name stayed in dev's history. R. van der Merwe's requested change was accepted and widened from six files to every citation on the branch. A release gate written into the E2E run record was removed from the evidence and recorded in DEC-003 v0.3 instead, then cited from the run record. Where a citation had no committed source, the source was published (the test plan) rather than the citation deleted</t>
  </si>
  <si>
    <t>Seven. (1) Claude had written citations of local, uncommitted AI tooling files into committed evidence, tests and an ADR during the build, under several names ("CLAUDE.md", "project instructions", "the plan", "the brief", "plan D1/D3/D12", "task 1/4"), including first-person tool text in one index. R. van der Merwe's review found six; the branch-wide search found 68. (2) The first client boundary test missed status values written as JSX text (NV-65). (3) NV-43 is not caught by npm test, only by E2E-1, which does not run in CI. (4) NV-76, NV-77 and NV-80 were caught one step earlier than predicted, so three later E2E assertions are not shown to work by any NV. (5) Two tests fail intermittently (DEF-013, DEF-016); recorded as they happened, never re-run to green. (6) Excel's save removed a redundant applyAlignment flag from Open Items B2:H2; the cell-by-cell comparison caught it and it was judged rendering-neutral before commit. (7) Claude drafted another member's AI Usage Register entry on 12/10, contrary to Team Working Agreement §8; it was not pasted, and the #92 entry was not drafted for the same reason</t>
  </si>
  <si>
    <t>PR #94: embedded provenance metadata removed from the three PED architecture figures, pixels unchanged; M3-P0 index citation; OI-20</t>
  </si>
  <si>
    <t>Found an embedded C2PA provenance manifest (a caBX chunk) in docs/PED/PED/Media/architecture-logical.png, -modules.png and -physical.png while searching the repository for references to local AI tooling. Wrote a script that copies every PNG chunk except caBX byte for byte, and a decoder that compares the images pixel by pixel. Replaced the M3-P0 index's citation of a local file with the committed R-01 record. Opened PR #94. Drafted OI-20 (no CI gate inspects content inside non-Office binaries)</t>
  </si>
  <si>
    <t>Dimensions unchanged (1568×2656, 1568×898, 1568×396); 0 differing pixels in each; SHA-256 of the decoded RGB data identical before and after; each file exactly 5,770 bytes smaller (the 5,758-byte chunk and its 12-byte header); all chunk CRCs valid. The comparison was first shown to detect a change: a copy with one pixel altered gave 1 differing pixel and a different hash. No .docx, .xlsx, .pptx or .pdf on dev embeds a manifest. CI 6/6</t>
  </si>
  <si>
    <t>Accepted. PED v2.0 row 1.7's AI disclosure left unchanged: it is the disclosure, not a footprint. The original files remain in history at 1faf60d; dev's history was not rewritten</t>
  </si>
  <si>
    <t>One. The manifest had been on dev since PR #49 (29/09/2026) and passed every required check: no gate inspects content inside images or PDFs. Raised as OI-20 rather than left implicit</t>
  </si>
  <si>
    <t>TD-004 index provisioning: privilege probe, provisioning script, tests, negative verifications NV-83 to NV-90, first live check-only run (L1), PR #98; OI-21 (DEC-003 assumed a VPS that never existed), PR #96</t>
  </si>
  <si>
    <t>Designed and wrote a privilege probe that ran on a throwaway database (ccprobe) on the Atlas test cluster. It showed that createIndex alone builds an index on an absent collection, so createCollection need not be granted, and that a TTL change is refused with error 85. Built the provisioning script (scripts/atlas/provision-indexes.js, indexComparison.js, declaredIndexes.js, scripts/lib/clusterMarkers.js) with a command allow-list, a server-reported privilege check and a --check-only mode. Wrote 19 tests (suite 167 → 186 pass, 8 pre-existing skips) and eight sabotage negative verifications (NV-83 to NV-90, all caught). Ran L1 check-only against the test cluster: 20 of 21 declared indexes missing, including all unique indexes (DEF-014, DEF-015, DEF-017), five declared collections absent, sessions TTL 1800 s. Drafted the evidence records, the PR #98 description and the OI-21 row.</t>
  </si>
  <si>
    <t>Expected results were written before every run. I created and removed the Atlas probe and provisioner roles and users myself, and checked each role’s grants against the screen (least privilege: 10 named collections, no wildcard). The AI reproduced the implementer’s claims independently: tests, lint, guards refusing before connecting, and sabotage NV-83 re-run with matching file hashes. I checked that NV-83 to NV-90 were free with git grep across all remote branches, with an NV-82 control. OI-21 was checked across all 36 branches, including text inside Office files, with OI-20 and OI-99 controls. Gitleaks 8.18.4 found no new findings. Workbook edits were compared cell by cell against f56cc04 before commit.</t>
  </si>
  <si>
    <t xml:space="preserve">Accepted the script, tests and records. Overruled provisioning before merge: the credential was deleted and provisioning deferred until PR #98 is reviewed. Deferred dropping the test civicconnect database (D4) until both teammates agree. </t>
  </si>
  <si>
    <t>On the first full run, the implementer got 3 test failures and re-ran without capturing the test names. Recorded as a gap, not re-run to green. A Defect Register row is pending.
I reported the cleanup times in SAST where UTC was asked, twice. The AI detected and converted them, and the records state the conversion.
The AI’s run commands wrote output to a local AI scratchpad path, which risked an AI-local path entering committed evidence. Caught before commit; the L1 record uses a placeholder.
The AI repeated an error from my project notes, attributing “the VPS the team already has” to DEC-003 instead of DEC-002. Caught by the AI when reading the documents before drafting OI-21.</t>
  </si>
  <si>
    <t>M3 planning: dependency-ordered plan to the release candidate and baseline; reviews of #99 (DEC-003 v0.4), #101 (DEF-018), #102 (index evidence) and #103 (staging marker)</t>
  </si>
  <si>
    <t>Ran a grilling session to settle the release plan (two annotated tags, only docs/ and perf/ may change between them). Drafted the four review texts and the status file.</t>
  </si>
  <si>
    <t>I checked each review point against the PR diffs and the record before posting, and posted every review myself (changes requested on all four).</t>
  </si>
  <si>
    <t>Release plan adopted as D-a to D-h. I accepted DEF-018 ownership at P1 and allocated TD-005 to the AC-FR-1.3 gap after a free-check.</t>
  </si>
  <si>
    <t>Re-reviews of #99, #101, #102, #103, #105, #110 and #111; reviews of #107 and #109; dev to main PR #106 for the release candidate</t>
  </si>
  <si>
    <t>Checked each PR head against my posted reviews and drafted the review and approval texts. Found that #99 left OI-21's colocation and CTRLWEB criteria unmet; that #105's openapi.yaml was invalid while CI was green, later confirmed with a js-yaml parse (exit 1 broken, exit 0 fixed); and that #111 said the access list was not widened while step 5 ran from a workstation. Drafted and opened #106.</t>
  </si>
  <si>
    <t>I posted every review and did every merge, and I created and pushed the v3.0-M3-rc tag myself. Merge state, ancestry and CI were checked with gh and git before each step.</t>
  </si>
  <si>
    <t>Reviews posted as drafted, with my edits. #106 merged with a merge commit (30ff0c6) and tagged.</t>
  </si>
  <si>
    <t>The AI described de84ab1 as the commit that adds the gitleaks fingerprints; it is the NV records commit the fingerprints name. It also listed the open defects as DEF-007 to 013, 016, 018 when the register shows DEF-005 to 018. Both corrected before #106 opened.</t>
  </si>
  <si>
    <t>M3 test evidence records UT-1 to UT-5 and BB-1 to BB-5, with negative verifications NV-91 to NV-100 (#104)</t>
  </si>
  <si>
    <t>Drafted the records from existing tests only, quoting FR and AC text from the workbooks. Wrote a sabotage script that wrote each expected result to the evidence file before the run and restored each source file by writing back its original content.</t>
  </si>
  <si>
    <t>I set the format in a grilling session and allocated NV-91 to NV-100 after a full free-check including Office files. SHA-256 before and after each break matched, and git status showed src/ and tests/ unchanged. Reviewed by C. Burger and R. van der Merwe.</t>
  </si>
  <si>
    <t>Existing tests only, gaps recorded as not covered. State transition limited to requirement-fixed behaviour (OI-15). NV-97 recorded as NOT CAUGHT and the test not strengthened (tests frozen at the release candidate).</t>
  </si>
  <si>
    <t>The AI miscited FR-6.7 and AC-FR-6.7 in the planning questions; I caught it, and the check found two test titles with the same errors (DEF-019). One evidence capture printed echo's exit code; re-captured before commit. It cited NV-81 (E2E only) as unit evidence; C. Burger found it.</t>
  </si>
  <si>
    <t>Full E2E run at v3.0-M3-rc (#108)</t>
  </si>
  <si>
    <t>Created a detached worktree at the tag, installed from the tag's lockfiles, wrote the expected results before each run, ran once per attempt and recorded the output.</t>
  </si>
  <si>
    <t>I supplied the environment file outside the repository (the AI did not read it), set no-retry, and chose the DNS override for the second attempt. The second run matched every expected result.</t>
  </si>
  <si>
    <t>Both attempts kept, the first as not run (SRV DNS). Opened as #108.</t>
  </si>
  <si>
    <t>Playwright's browser was missing and was installed for the run; recorded in the file.</t>
  </si>
  <si>
    <t>Defect Register v0.5 and Technical Debt Register v0.3 (#113); RTM v0.10 (#115)</t>
  </si>
  <si>
    <t>Drafted every cell, generated paste lists from one source, and ran content-only compares after each save. Ran the DEF and TD free-checks. Flagged that #112 edited the same workbooks and contradicted my allocations.</t>
  </si>
  <si>
    <t>I pasted every cell by hand in Excel. The compares caught paste errors, all fixed before commit: a row pasted into the wrong defect, three wrong dates, text appended to the wrong cell, a stray full stop, a line break from the terminal, and one cell in the wrong row of the RTM.</t>
  </si>
  <si>
    <t>My register PR instead of #112. DEF-014, DEF-015 and DEF-017 closed with R. van der Merwe's text; DEF-019 and DEF-020 allocated; TD-008 in C. Burger's own words.</t>
  </si>
  <si>
    <t>The AI flagged a date cell as not a formula when Excel had stored it as a shared formula (false alarm), and first copied the RTM onto the register branch, then moved it before any commit.</t>
  </si>
  <si>
    <t>PED v3.0 and the M3 Release Evidence Summary (#116); staging Nginx correction</t>
  </si>
  <si>
    <t>Drafted the M3 sections I own, the submission block and the summary from the repository and registers, and carried R. van der Merwe's M3.8 and v2.2 unchanged. Diagnosed that the staging client was not served (Nginx proxied every path) and wrote the Nginx change with the expected results first.</t>
  </si>
  <si>
    <t>I read and edited the drafts. Sections 1 to 13 and the appendices were compared byte for byte with v2.2. I applied the Nginx change on the VM myself; all six checks matched the expected results.</t>
  </si>
  <si>
    <t>Classification CONDITIONALLY READY. Nginx finding recorded in the deploy record and M3.10, not as a defect.</t>
  </si>
  <si>
    <t>The AI first counted nine open P1 defects instead of ten, and first put the baseline tag's own commit hash inside the document that tag contains. It redacted the staging IP I supplied for the submission block, to keep the record's rule. All corrected or kept before commit.</t>
  </si>
  <si>
    <t>The AI assisted with the reviewing of open PR's and ensures that all needed requirements were met.</t>
  </si>
  <si>
    <t>GATE-01 layer-boundary demonstration (PR #90) and CI follow-ups (PR #91)</t>
  </si>
  <si>
    <t>Drafted the one-line breach for #90 (a re-export in src/routes/healthRoutes.js, so ESLint stays quiet and only the layer check fires), the expected result written before the run, and the GATE-01 record. Traced the unplanned secret-scan failure on the same run to the scan reading every branch (--all), and drafted #91: the required scan reads only the history of HEAD, a weekly all-branch scan workflow, and a wider layer-check pattern</t>
  </si>
  <si>
    <t>Run 38357191208 failed at the layer step while the tests passed, and the merge was blocked. I checked that the six secret-scan findings were SHA-256 hashes in #89's evidence files, not credentials. On #91 the scan read 83 commits instead of 110, with no findings. #90 was closed unmerged and its branch deleted</t>
  </si>
  <si>
    <t>Accepted. Kept the all-branch scan as a weekly, non-blocking workflow instead of dropping it, so other branches are still covered</t>
  </si>
  <si>
    <t>The first layer pattern only matched imports written as `from '…/models|repositories/'`, so a side-effect import or a dynamic import() would have passed. Widened in #91. It still can't see require, createRequire or cross-module collection reads (reviewer responsibility, PED M3.5.4)</t>
  </si>
  <si>
    <t>Check that NV-83 to NV-90 were unused in Office files before they were allocated to PR #98 (demo branch, closed unmerged)</t>
  </si>
  <si>
    <t>Drafted a one-off workflow that extracts every version of every Office document on every branch with the repository's own extraction script, then searches the text for NV-83 to NV-90. A positive control (OI-20, known to exist only inside a workbook) and a negative control (OI-99, never used) are built in</t>
  </si>
  <si>
    <t>The job fails unless the positive control is found and the negative control is not, so a pass means the search can see inside Office files and doesn't match everything. git grep alone can't see inside Office files</t>
  </si>
  <si>
    <t>Accepted. NV-83 to NV-90 were not found in any committed Office file, and the IDs were allocated on 13/10/2026</t>
  </si>
  <si>
    <t>The negative control was replaced in a second commit, which also prints each hit with its context</t>
  </si>
  <si>
    <t>Screenshot editing to remove sensitive data (GATE-01, GATE-02 and B-01 to B-05 evidence screenshots)</t>
  </si>
  <si>
    <t>Listed what an evidence screenshot must not show before it is committed (email addresses, account details, the browser address bar, tokens, the staging IP) and checked each of my edited screenshots against that list</t>
  </si>
  <si>
    <t>Opened every edited image before committing it. GATE-01_4 still shows the commit, file, rule and fingerprint of each Gitleaks finding, with only the author email covered. The B-05 screenshots are cropped to the ruleset targets and the branch row. Rechecked all 21 committed M3-B and M3-CI screenshots on 16/10/2026: none carries text metadata</t>
  </si>
  <si>
    <t>Accepted. I cropped to the part of the page the evidence needs instead of blurring, and covered the email with a solid box, so nothing hidden can be recovered from the image</t>
  </si>
  <si>
    <t>Gitleaks prints each commit author's email in its log, so a screenshot of a finding exposes it unless it is covered. Recorded in the GATE-01 record as "(author email redacted)"</t>
  </si>
  <si>
    <t>Staging demonstration outline for the M3 presentation</t>
  </si>
  <si>
    <t>Drafted a timed outline for showing the release candidate on staging: what to show at each step, which evidence it points to, and what to say if a step fails during the demo</t>
  </si>
  <si>
    <t>Checked each step against the staging deploy record, so the demo shows only what was deployed and verified on v3.0-M3-rc</t>
  </si>
  <si>
    <t>Accepted. Sent to Ethan for the team presentation</t>
  </si>
  <si>
    <t>The client was not served on staging until Nginx was corrected on 15/10/2026 (#117), so the browser part of the demo depends on that fix. There is still no submission route on staging, so a request cannot be created there during the demo</t>
  </si>
  <si>
    <t>Risk Register V0.8 (RSK-019, RSK-021); PED v3.0 lines for M3.4, M3.5 and M3.6</t>
  </si>
  <si>
    <t>Drafted the M3 review notes for RSK-019 (the NFR-2.4 load run) and RSK-021 (CodeQL alert #1), and the PED lines. Built V0.8 from V0.7 with a script that changes only the status, evidence and notes cells of those two rows</t>
  </si>
  <si>
    <t>Compared V0.8 with V0.7 cell by cell: only M21:O21 and M23:O23 changed, with formulas and formatting intact. Checked the figures against the load-run and deploy records, and every new reference on Google Scholar</t>
  </si>
  <si>
    <t>Accepted. Both scores left unchanged: the run did not measure database load, and the alert confirms a known gap rather than changing its likelihood</t>
  </si>
  <si>
    <t>The Atlas metrics were not captured during the run, so RSK-019's indicator could not be read. Recorded as the next action, not filled with an estimate. One reference's DOI could not be confirmed, so it was left out</t>
  </si>
  <si>
    <t>PR review assistance, M3 (#89 to #117)</t>
  </si>
  <si>
    <t>Read each PR branch from my local clone, compared workbooks cell by cell against the previous version, checked cited run IDs, commits and evidence files, and drafted short review comments and change requests</t>
  </si>
  <si>
    <t>Read every finding against the files myself before posting, posted comments in my own words, and re-pulled and re-checked each fix before approving</t>
  </si>
  <si>
    <t>Accepted with changes. Comments shortened and some findings dropped</t>
  </si>
  <si>
    <t>One AI finding was wrong: on #115 it said the PR secret scan covers only the current tree. Ethan checked ci.yml and showed it scans the full history of HEAD. I withdrew the point and approved. Other findings that held up: the TD-005 ID clash in #112, which led to TD-008 (integration tests not in CI, owner C. Burger) and "VPS" wording still in the Decision Log after DEC-003 v0.4 (#114)</t>
  </si>
  <si>
    <t>Robert van der Merwe</t>
  </si>
  <si>
    <t>Replacing the Hostinger VPS with the Azure staging VM in DEC-003, and fixing it after review (PR #99)</t>
  </si>
  <si>
    <t>DEC-003 v0.4 with v0.3 archived; the region rule for performance results; the later review fixes (cost, staging cluster as built, production with no host, port 22, CTRLWEB, colocation, CON-007, OI-21)</t>
  </si>
  <si>
    <t>I supplied every fact (VM size, region, costs, cluster, ports, measured latency) and checked each against Azure and Atlas. I checked that the full static IP was in no commit. Ethan and Christiaan reviewed it over three rounds</t>
  </si>
  <si>
    <t>Accepted with changes: corrected the credit duration and restored the CTRLWEB clause.</t>
  </si>
  <si>
    <t>The first draft wrote the cost as “$0 actual” without noting that the credit lasts about 2.9 months; the reviewers made me correct it. The AI dropped the CTRLWEB clause when one reviewer queried it, and had to restore it because OI-21’s closure needs it</t>
  </si>
  <si>
    <t>Logging the unexplained test failure as DEF-018 (PR #101)</t>
  </si>
  <si>
    <t>Defect Register v0.4 with the DEF-018 row, written with a Python spreadsheet library</t>
  </si>
  <si>
    <t>The AI compared every cell against v0.3. I re-saved the workbook in Excel and the comparison was re-run</t>
  </si>
  <si>
    <t>Accepted with changes: re-saved in Excel to fix missing metadata, and adjusted wording to match evidence.</t>
  </si>
  <si>
    <t>The library left the date cells’ cached values empty, dropped two internal parts of the file, and kept Ethan as “last modified by”. Ethan found this; my Excel re-save fixed it. My first wording called the failure “intermittent” and “transient CI”, which the evidence did not support</t>
  </si>
  <si>
    <t>Test-cluster index evidence and duplicate-refusal checks L2 to L4 (PR #102)</t>
  </si>
  <si>
    <t>A check script run with the application credential; expected results written before the run; the evidence file; dated notes after review</t>
  </si>
  <si>
    <t>I dropped the test database, created and deleted the temporary user, and ran provisioning runs 1 and 2 myself. The AI ran L2 to L4 against the test cluster and checked the evidence files for hosts, URIs and passwords</t>
  </si>
  <si>
    <t>Accepted with changes: corrected the remaining history entry count from 5 to 4.</t>
  </si>
  <si>
    <t>The AI wrote that 5 history entries were left on the cluster; there were 4. Christiaan and Ethan caught it. My instruction to note “expected results written before the run” for runs 1 and 2 would have been false (the time was after those runs); the AI put the note only where it was true</t>
  </si>
  <si>
    <t>Staging host marker (PR #103)</t>
  </si>
  <si>
    <t>The marker in clusterMarkers.js and the updated host-guard tests</t>
  </si>
  <si>
    <t>The AI ran the marker tests (19 of 19) and the full suite. Ethan broke the marker to confirm the tests catch it</t>
  </si>
  <si>
    <t>Accepted with changes: updated substring description to "neither contains the other".</t>
  </si>
  <si>
    <t>The PR text and code comment said the two markers “share no substring”; both contain civicconnect. Corrected to “neither contains the other”</t>
  </si>
  <si>
    <t>/health reporting the release commit (PR #105)</t>
  </si>
  <si>
    <t>src/infrastructure/release.js, its tests, the wiring, and the OpenAPI schema change</t>
  </si>
  <si>
    <t>The AI ran the unit suite (191 pass). After review, the AI parsed the OpenAPI file with js-yaml and confirmed it differed from dev only in the release property</t>
  </si>
  <si>
    <t>Accepted with changes: manually rebuilt the corrupted openapi.yaml file from dev.</t>
  </si>
  <si>
    <t>The AI corrupted docs/api/openapi.yaml. Its text-replacement call treated $' in the new pattern as “the rest of the file”, which duplicated a block and lost a $. CI did not catch it, because the tests read the file as text. Ethan did. Fixed by rebuilding the file from dev</t>
  </si>
  <si>
    <t>Tool-assisted check of the NFR-2.4 performance test suite (PR #109)</t>
  </si>
  <si>
    <t>perf/generate-fixtures.js and perf/load-run.js; the workload with what NFR-2.4 fixes and what the team chose; expected results and pass/fail written before the run</t>
  </si>
  <si>
    <t>Before merge, the AI tested the load runner against a local HTTPS mock with its own certificate: a clean run passed, a run with one 500 failed, and it refused without the CA and with verification off. The fixture script refused the test cluster and a spoofed host. The unit suite was unchanged. Ethan reviewed it</t>
  </si>
  <si>
    <t>Accepted with changes: renamed script to avoid test execution and replaced dynamic logging with fixed text to resolve CodeQL alert.</t>
  </si>
  <si>
    <t>The AI named the load script load-test.js, which npm test would have run as a test; it renamed it before commit. The scripts logged environment-derived values, which raised a new high CodeQL alert; fixed by printing fixed text. The fixture script was never run against a real cluster before merge, and failed on first use (next row)</t>
  </si>
  <si>
    <t>Debugging the Atlas code 8000 failure of the fixture script on staging</t>
  </si>
  <si>
    <t>Diagnosis that 8000 was Atlas refusing permission, not a rate limit; a fixed script (batched writes, full MongoDB error output, cleanup script, Mongoose automatic index and collection creation off); later a database-name guard (PR #110)</t>
  </si>
  <si>
    <t>I found the root cause with the fixed script’s output: the staging MONGODB_URI named no database, so the app used test. I corrected /etc/civicconnect/staging.env and restarted the service. I ran the cleanup and the fixture runs on the VM. Christiaan reviewed #110</t>
  </si>
  <si>
    <t>Accepted with changes: bypassed the AI's initial role guess and used the generated script's output to find the actual URI issue.</t>
  </si>
  <si>
    <t>The first fixture script printed only “code 8000”, which hid the cause. The AI’s first guess (a missing grant in the role) was wrong; the role was correct. The same misconfiguration had let /health report “up” against the wrong database, which is now DEF-020</t>
  </si>
  <si>
    <t>Commands and evidence for the staging deployment, load run and smoke test, and the deploy record (PRs #110, #111)</t>
  </si>
  <si>
    <t>Step-by-step commands (clone, install, client build, RELEASE_COMMIT, provisioning, fixtures, load run, smoke); a hidden-prompt command to create the credential file; the deploy record, with expected results written before each run</t>
  </si>
  <si>
    <t>I ran every command on the VM or my workstation and pasted the outputs. The AI checked each output against the expected results, kept the IP redacted, and listed what was not captured instead of reconstructing it. Ethan and Christiaan reviewed the record</t>
  </si>
  <si>
    <t>Accepted with changes: deleted the untracked fixture file, manually executed the scp command, and corrected the IP whitelist record.</t>
  </si>
  <si>
    <t>I left the fixture file holding the synthetic password untracked in the repository root; the AI found it and deleted it. The AI’s scp from its own shell failed because its key was not authorised; I ran it myself. One AI edit broke the curl -w command lines in the record; it fixed them later. The record first said the staging cluster admits only the VM’s IP, but my workstation IP was also on the list; corrected after Ethan asked. No check requested /, so the record missed that Nginx was not serving the client; Ethan found and fixed this (#117)</t>
  </si>
  <si>
    <t>Post-RC register updates (PR #112, closed)</t>
  </si>
  <si>
    <t>Technical Debt Register v0.3 and Defect Register v0.5 drafts</t>
  </si>
  <si>
    <t>The AI compared them cell by cell, and I re-saved both in Excel</t>
  </si>
  <si>
    <t>Rejected: closed PR #112 completely due to the TD-005 numbering clash and passed wording to PR #113.</t>
  </si>
  <si>
    <t>The AI used TD-005 for the integration-tests item although it had already flagged that #104 cited TD-005 for something else. That created a numbering clash and two v0.3s of a one-editor workbook. I closed #112, and the wording went to Ethan’s #113</t>
  </si>
  <si>
    <t>PED M3.8 and the Decision Log’s DEC-003 row (PR #114)</t>
  </si>
  <si>
    <t>PED v2.2 with M3.8 (Performance and reliability), and Decision Log v0.9 with the DEC-003 row brought into line with DEC-003 v0.4</t>
  </si>
  <si>
    <t>The AI confirmed PED v2.2 differed from v2.1 only in the intended lines, and that only D7, E7 and G7 changed in the Decision Log. I re-saved the log in Excel. Ethan and Christiaan reviewed it</t>
  </si>
  <si>
    <t>I gave 6,735 as the total requests; that was the 600 s window only, and the AI recorded both figures (6,835 in total). The Excel re-save moved the freeze pane, which is harmless</t>
  </si>
  <si>
    <t>Reviewing open PRs and generating gh pr review commands (PRs #104, #106, #107, #108, #113, #115, #116, #117)</t>
  </si>
  <si>
    <t>A check of each branch against my criteria, and review commands with comments</t>
  </si>
  <si>
    <t>I posted every review myself after reading the AI’s findings</t>
  </si>
  <si>
    <t>Accepted with changes: adjusted the NFR-3.5 review comment to correctly state the full history scan.</t>
  </si>
  <si>
    <t>The AI found Christiaan’s suggested NFR-3.5 wording on #115 understated the PR secret scan (it covers full history, not the current tree), and held #116 back because the Release Evidence Summary omits the 21-of-21 index provisioning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</si>
</sst>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F800]dddd\,\ mmmm\ dd\,\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16" fontId="3" fillId="0" borderId="6" xfId="0" applyNumberFormat="1" applyFont="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3" fillId="3" borderId="1" xfId="0" applyFont="1" applyFill="1" applyBorder="1" applyAlignment="1">
      <alignment horizontal="center" vertical="center" wrapText="1"/>
    </xf>
    <xf numFmtId="0" fontId="0" fillId="0" borderId="0" xfId="0" applyBorder="1" applyAlignment="1">
      <alignment horizontal="center" vertical="center"/>
    </xf>
    <xf numFmtId="166" fontId="0" fillId="0" borderId="1" xfId="0" applyNumberFormat="1" applyBorder="1" applyAlignment="1">
      <alignment horizontal="center" vertical="center" wrapText="1"/>
    </xf>
    <xf numFmtId="166" fontId="3" fillId="0" borderId="6" xfId="0" applyNumberFormat="1" applyFont="1" applyBorder="1" applyAlignment="1">
      <alignment horizontal="center" vertical="center" wrapText="1"/>
    </xf>
    <xf numFmtId="166" fontId="3" fillId="0" borderId="2" xfId="0" applyNumberFormat="1" applyFont="1" applyBorder="1" applyAlignment="1">
      <alignment horizontal="center" vertical="center" wrapText="1"/>
    </xf>
    <xf numFmtId="166" fontId="0" fillId="0" borderId="6" xfId="0" applyNumberFormat="1" applyBorder="1" applyAlignment="1">
      <alignment horizontal="center" vertical="center" wrapText="1"/>
    </xf>
    <xf numFmtId="166" fontId="3" fillId="0" borderId="1" xfId="0" applyNumberFormat="1" applyFont="1" applyBorder="1" applyAlignment="1">
      <alignment horizontal="center" vertical="center" wrapText="1"/>
    </xf>
  </cellXfs>
  <cellStyles count="1">
    <cellStyle name="Normal" xfId="0" builtinId="0"/>
  </cellStyles>
  <dxfs count="6">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topLeftCell="B1" zoomScale="85" zoomScaleNormal="85" workbookViewId="0">
      <pane ySplit="2" topLeftCell="A80" activePane="bottomLeft" state="frozen"/>
      <selection pane="bottomLeft" activeCell="B9" sqref="B9"/>
    </sheetView>
  </sheetViews>
  <sheetFormatPr defaultColWidth="40.33203125" defaultRowHeight="14.4"/>
  <cols>
    <col min="1" max="1" width="4.109375" style="1" customWidth="1"/>
    <col min="2" max="2" width="28.44140625" style="1" bestFit="1" customWidth="1"/>
    <col min="3" max="3" width="20" style="1" bestFit="1" customWidth="1"/>
    <col min="4" max="4" width="20.109375" style="1" bestFit="1" customWidth="1"/>
    <col min="5" max="5" width="37" style="1" customWidth="1"/>
    <col min="6" max="6" width="41.33203125" style="1" bestFit="1" customWidth="1"/>
    <col min="7" max="7" width="43.88671875" style="1" bestFit="1" customWidth="1"/>
    <col min="8" max="8" width="41.109375" style="1" bestFit="1" customWidth="1"/>
    <col min="9" max="9" width="42.33203125" style="1" bestFit="1" customWidth="1"/>
    <col min="10" max="16384" width="40.33203125" style="1"/>
  </cols>
  <sheetData>
    <row r="1" spans="2:9" ht="34.200000000000003" customHeight="1" thickBot="1">
      <c r="B1" s="9" t="s">
        <v>0</v>
      </c>
      <c r="C1" s="10"/>
      <c r="D1" s="10"/>
      <c r="E1" s="10"/>
      <c r="F1" s="10"/>
      <c r="G1" s="10"/>
      <c r="H1" s="10"/>
    </row>
    <row r="2" spans="2:9" ht="15" thickBot="1">
      <c r="B2" s="3" t="s">
        <v>1</v>
      </c>
      <c r="C2" s="2" t="s">
        <v>2</v>
      </c>
      <c r="D2" s="2" t="s">
        <v>3</v>
      </c>
      <c r="E2" s="2" t="s">
        <v>4</v>
      </c>
      <c r="F2" s="2" t="s">
        <v>5</v>
      </c>
      <c r="G2" s="2" t="s">
        <v>6</v>
      </c>
      <c r="H2" s="4" t="s">
        <v>7</v>
      </c>
      <c r="I2" s="4" t="s">
        <v>8</v>
      </c>
    </row>
    <row r="3" spans="2:9" ht="96.6">
      <c r="B3" s="19">
        <f>DATE(2026,9,7)</f>
        <v>46272</v>
      </c>
      <c r="C3" s="11" t="s">
        <v>67</v>
      </c>
      <c r="D3" s="11" t="s">
        <v>10</v>
      </c>
      <c r="E3" s="11" t="s">
        <v>68</v>
      </c>
      <c r="F3" s="11" t="s">
        <v>69</v>
      </c>
      <c r="G3" s="11" t="s">
        <v>70</v>
      </c>
      <c r="H3" s="11" t="s">
        <v>71</v>
      </c>
      <c r="I3" s="16"/>
    </row>
    <row r="4" spans="2:9" ht="110.4">
      <c r="B4" s="21">
        <f>DATE(2026,9,7)</f>
        <v>46272</v>
      </c>
      <c r="C4" s="12" t="s">
        <v>67</v>
      </c>
      <c r="D4" s="12" t="s">
        <v>10</v>
      </c>
      <c r="E4" s="12" t="s">
        <v>72</v>
      </c>
      <c r="F4" s="12" t="s">
        <v>73</v>
      </c>
      <c r="G4" s="15" t="s">
        <v>74</v>
      </c>
      <c r="H4" s="15" t="s">
        <v>75</v>
      </c>
      <c r="I4" s="16"/>
    </row>
    <row r="5" spans="2:9" ht="43.2">
      <c r="B5" s="17">
        <f>DATE(2026,9,8)</f>
        <v>46273</v>
      </c>
      <c r="C5" s="5" t="s">
        <v>9</v>
      </c>
      <c r="D5" s="5" t="s">
        <v>10</v>
      </c>
      <c r="E5" s="5" t="s">
        <v>11</v>
      </c>
      <c r="F5" s="5" t="s">
        <v>12</v>
      </c>
      <c r="G5" s="5" t="s">
        <v>13</v>
      </c>
      <c r="H5" s="5" t="s">
        <v>14</v>
      </c>
      <c r="I5" s="16"/>
    </row>
    <row r="6" spans="2:9" ht="28.8">
      <c r="B6" s="17">
        <f>DATE(2026,9,8)</f>
        <v>46273</v>
      </c>
      <c r="C6" s="5" t="s">
        <v>9</v>
      </c>
      <c r="D6" s="5" t="s">
        <v>10</v>
      </c>
      <c r="E6" s="5" t="s">
        <v>15</v>
      </c>
      <c r="F6" s="5" t="s">
        <v>16</v>
      </c>
      <c r="G6" s="5" t="s">
        <v>17</v>
      </c>
      <c r="H6" s="5" t="s">
        <v>18</v>
      </c>
      <c r="I6" s="16"/>
    </row>
    <row r="7" spans="2:9" ht="28.8">
      <c r="B7" s="17">
        <f>DATE(2026,9,8)</f>
        <v>46273</v>
      </c>
      <c r="C7" s="5" t="s">
        <v>9</v>
      </c>
      <c r="D7" s="5" t="s">
        <v>10</v>
      </c>
      <c r="E7" s="5" t="s">
        <v>19</v>
      </c>
      <c r="F7" s="5" t="s">
        <v>20</v>
      </c>
      <c r="G7" s="5" t="s">
        <v>21</v>
      </c>
      <c r="H7" s="5" t="s">
        <v>22</v>
      </c>
      <c r="I7" s="16"/>
    </row>
    <row r="8" spans="2:9" ht="43.2">
      <c r="B8" s="17">
        <f>DATE(2026,9,8)</f>
        <v>46273</v>
      </c>
      <c r="C8" s="5" t="s">
        <v>9</v>
      </c>
      <c r="D8" s="5" t="s">
        <v>10</v>
      </c>
      <c r="E8" s="5" t="s">
        <v>23</v>
      </c>
      <c r="F8" s="5" t="s">
        <v>24</v>
      </c>
      <c r="G8" s="5" t="s">
        <v>25</v>
      </c>
      <c r="H8" s="5" t="s">
        <v>26</v>
      </c>
      <c r="I8" s="16"/>
    </row>
    <row r="9" spans="2:9" ht="43.2">
      <c r="B9" s="17">
        <f>DATE(2026,9,8)</f>
        <v>46273</v>
      </c>
      <c r="C9" s="5" t="s">
        <v>9</v>
      </c>
      <c r="D9" s="5" t="s">
        <v>10</v>
      </c>
      <c r="E9" s="5" t="s">
        <v>27</v>
      </c>
      <c r="F9" s="5" t="s">
        <v>28</v>
      </c>
      <c r="G9" s="5" t="s">
        <v>29</v>
      </c>
      <c r="H9" s="5" t="s">
        <v>30</v>
      </c>
      <c r="I9" s="16"/>
    </row>
    <row r="10" spans="2:9" ht="28.8">
      <c r="B10" s="17">
        <f>DATE(2026,9,8)</f>
        <v>46273</v>
      </c>
      <c r="C10" s="5" t="s">
        <v>9</v>
      </c>
      <c r="D10" s="5" t="s">
        <v>10</v>
      </c>
      <c r="E10" s="5" t="s">
        <v>31</v>
      </c>
      <c r="F10" s="5" t="s">
        <v>32</v>
      </c>
      <c r="G10" s="5" t="s">
        <v>33</v>
      </c>
      <c r="H10" s="5" t="s">
        <v>34</v>
      </c>
      <c r="I10" s="16"/>
    </row>
    <row r="11" spans="2:9" ht="110.4">
      <c r="B11" s="21">
        <f>DATE(2026,9,8)</f>
        <v>46273</v>
      </c>
      <c r="C11" s="12" t="s">
        <v>67</v>
      </c>
      <c r="D11" s="12" t="s">
        <v>10</v>
      </c>
      <c r="E11" s="12" t="s">
        <v>76</v>
      </c>
      <c r="F11" s="12" t="s">
        <v>77</v>
      </c>
      <c r="G11" s="12" t="s">
        <v>78</v>
      </c>
      <c r="H11" s="12" t="s">
        <v>79</v>
      </c>
      <c r="I11" s="16"/>
    </row>
    <row r="12" spans="2:9" ht="110.4">
      <c r="B12" s="21">
        <f>DATE(2026,9,8)</f>
        <v>46273</v>
      </c>
      <c r="C12" s="12" t="s">
        <v>67</v>
      </c>
      <c r="D12" s="12" t="s">
        <v>10</v>
      </c>
      <c r="E12" s="12" t="s">
        <v>80</v>
      </c>
      <c r="F12" s="12" t="s">
        <v>81</v>
      </c>
      <c r="G12" s="12" t="s">
        <v>82</v>
      </c>
      <c r="H12" s="12" t="s">
        <v>83</v>
      </c>
      <c r="I12" s="16"/>
    </row>
    <row r="13" spans="2:9" ht="43.2">
      <c r="B13" s="17">
        <f>DATE(2026,9,9)</f>
        <v>46274</v>
      </c>
      <c r="C13" s="5" t="s">
        <v>9</v>
      </c>
      <c r="D13" s="5" t="s">
        <v>10</v>
      </c>
      <c r="E13" s="5" t="s">
        <v>35</v>
      </c>
      <c r="F13" s="5" t="s">
        <v>36</v>
      </c>
      <c r="G13" s="5" t="s">
        <v>37</v>
      </c>
      <c r="H13" s="5" t="s">
        <v>38</v>
      </c>
      <c r="I13" s="16"/>
    </row>
    <row r="14" spans="2:9" ht="57.6">
      <c r="B14" s="17">
        <f>DATE(2026,9,9)</f>
        <v>46274</v>
      </c>
      <c r="C14" s="5" t="s">
        <v>9</v>
      </c>
      <c r="D14" s="5" t="s">
        <v>10</v>
      </c>
      <c r="E14" s="5" t="s">
        <v>39</v>
      </c>
      <c r="F14" s="5" t="s">
        <v>40</v>
      </c>
      <c r="G14" s="5" t="s">
        <v>41</v>
      </c>
      <c r="H14" s="5" t="s">
        <v>42</v>
      </c>
      <c r="I14" s="16"/>
    </row>
    <row r="15" spans="2:9" ht="72">
      <c r="B15" s="17">
        <f>DATE(2026,9,9)</f>
        <v>46274</v>
      </c>
      <c r="C15" s="5" t="s">
        <v>9</v>
      </c>
      <c r="D15" s="5" t="s">
        <v>10</v>
      </c>
      <c r="E15" s="6" t="s">
        <v>43</v>
      </c>
      <c r="F15" s="5" t="s">
        <v>44</v>
      </c>
      <c r="G15" s="5" t="s">
        <v>45</v>
      </c>
      <c r="H15" s="5" t="s">
        <v>46</v>
      </c>
      <c r="I15" s="16"/>
    </row>
    <row r="16" spans="2:9" ht="43.2">
      <c r="B16" s="17">
        <f>DATE(2026,9,9)</f>
        <v>46274</v>
      </c>
      <c r="C16" s="5" t="s">
        <v>9</v>
      </c>
      <c r="D16" s="5" t="s">
        <v>10</v>
      </c>
      <c r="E16" s="5" t="s">
        <v>47</v>
      </c>
      <c r="F16" s="5" t="s">
        <v>48</v>
      </c>
      <c r="G16" s="5" t="s">
        <v>49</v>
      </c>
      <c r="H16" s="5" t="s">
        <v>50</v>
      </c>
      <c r="I16" s="16"/>
    </row>
    <row r="17" spans="2:9" ht="43.2">
      <c r="B17" s="20">
        <f>DATE(2026,9,9)</f>
        <v>46274</v>
      </c>
      <c r="C17" s="13" t="s">
        <v>9</v>
      </c>
      <c r="D17" s="13" t="s">
        <v>10</v>
      </c>
      <c r="E17" s="13" t="s">
        <v>51</v>
      </c>
      <c r="F17" s="13" t="s">
        <v>52</v>
      </c>
      <c r="G17" s="13" t="s">
        <v>53</v>
      </c>
      <c r="H17" s="13" t="s">
        <v>54</v>
      </c>
      <c r="I17" s="16"/>
    </row>
    <row r="18" spans="2:9" ht="28.8">
      <c r="B18" s="20">
        <f>DATE(2026,9,9)</f>
        <v>46274</v>
      </c>
      <c r="C18" s="13" t="s">
        <v>9</v>
      </c>
      <c r="D18" s="13" t="s">
        <v>10</v>
      </c>
      <c r="E18" s="13" t="s">
        <v>55</v>
      </c>
      <c r="F18" s="13" t="s">
        <v>56</v>
      </c>
      <c r="G18" s="13" t="s">
        <v>57</v>
      </c>
      <c r="H18" s="13" t="s">
        <v>58</v>
      </c>
      <c r="I18" s="16"/>
    </row>
    <row r="19" spans="2:9" ht="43.2">
      <c r="B19" s="20">
        <f>DATE(2026,9,9)</f>
        <v>46274</v>
      </c>
      <c r="C19" s="13" t="s">
        <v>9</v>
      </c>
      <c r="D19" s="13" t="s">
        <v>10</v>
      </c>
      <c r="E19" s="13" t="s">
        <v>59</v>
      </c>
      <c r="F19" s="13" t="s">
        <v>60</v>
      </c>
      <c r="G19" s="13" t="s">
        <v>61</v>
      </c>
      <c r="H19" s="13" t="s">
        <v>62</v>
      </c>
      <c r="I19" s="16"/>
    </row>
    <row r="20" spans="2:9" ht="57.6">
      <c r="B20" s="20">
        <f>DATE(2026,9,9)</f>
        <v>46274</v>
      </c>
      <c r="C20" s="13" t="s">
        <v>9</v>
      </c>
      <c r="D20" s="13" t="s">
        <v>10</v>
      </c>
      <c r="E20" s="13" t="s">
        <v>63</v>
      </c>
      <c r="F20" s="13" t="s">
        <v>64</v>
      </c>
      <c r="G20" s="13" t="s">
        <v>65</v>
      </c>
      <c r="H20" s="13" t="s">
        <v>66</v>
      </c>
      <c r="I20" s="16"/>
    </row>
    <row r="21" spans="2:9" ht="165.6">
      <c r="B21" s="18">
        <f>DATE(2026,9,9)</f>
        <v>46274</v>
      </c>
      <c r="C21" s="7" t="s">
        <v>67</v>
      </c>
      <c r="D21" s="7" t="s">
        <v>10</v>
      </c>
      <c r="E21" s="7" t="s">
        <v>84</v>
      </c>
      <c r="F21" s="7" t="s">
        <v>85</v>
      </c>
      <c r="G21" s="7" t="s">
        <v>86</v>
      </c>
      <c r="H21" s="7" t="s">
        <v>87</v>
      </c>
      <c r="I21" s="16"/>
    </row>
    <row r="22" spans="2:9" ht="124.2">
      <c r="B22" s="18">
        <f>DATE(2026,9,9)</f>
        <v>46274</v>
      </c>
      <c r="C22" s="7" t="s">
        <v>67</v>
      </c>
      <c r="D22" s="7" t="s">
        <v>10</v>
      </c>
      <c r="E22" s="7" t="s">
        <v>88</v>
      </c>
      <c r="F22" s="7" t="s">
        <v>89</v>
      </c>
      <c r="G22" s="7" t="s">
        <v>90</v>
      </c>
      <c r="H22" s="7" t="s">
        <v>91</v>
      </c>
      <c r="I22" s="16"/>
    </row>
    <row r="23" spans="2:9" ht="110.4">
      <c r="B23" s="18">
        <f>DATE(2026,9,9)</f>
        <v>46274</v>
      </c>
      <c r="C23" s="7" t="s">
        <v>67</v>
      </c>
      <c r="D23" s="7" t="s">
        <v>10</v>
      </c>
      <c r="E23" s="7" t="s">
        <v>92</v>
      </c>
      <c r="F23" s="7" t="s">
        <v>93</v>
      </c>
      <c r="G23" s="7" t="s">
        <v>94</v>
      </c>
      <c r="H23" s="7" t="s">
        <v>95</v>
      </c>
      <c r="I23" s="16"/>
    </row>
    <row r="24" spans="2:9" ht="96.6">
      <c r="B24" s="18">
        <f>DATE(2026,9,9)</f>
        <v>46274</v>
      </c>
      <c r="C24" s="7" t="s">
        <v>67</v>
      </c>
      <c r="D24" s="7" t="s">
        <v>10</v>
      </c>
      <c r="E24" s="7" t="s">
        <v>96</v>
      </c>
      <c r="F24" s="7" t="s">
        <v>97</v>
      </c>
      <c r="G24" s="7" t="s">
        <v>98</v>
      </c>
      <c r="H24" s="7" t="s">
        <v>99</v>
      </c>
      <c r="I24" s="16"/>
    </row>
    <row r="25" spans="2:9" ht="55.2">
      <c r="B25" s="18">
        <f>DATE(2026,9,9)</f>
        <v>46274</v>
      </c>
      <c r="C25" s="7" t="s">
        <v>67</v>
      </c>
      <c r="D25" s="7" t="s">
        <v>10</v>
      </c>
      <c r="E25" s="7" t="s">
        <v>100</v>
      </c>
      <c r="F25" s="7" t="s">
        <v>101</v>
      </c>
      <c r="G25" s="7" t="s">
        <v>102</v>
      </c>
      <c r="H25" s="7" t="s">
        <v>103</v>
      </c>
      <c r="I25" s="16"/>
    </row>
    <row r="26" spans="2:9" ht="138">
      <c r="B26" s="18">
        <f>DATE(2026,9,9)</f>
        <v>46274</v>
      </c>
      <c r="C26" s="7" t="s">
        <v>67</v>
      </c>
      <c r="D26" s="7" t="s">
        <v>10</v>
      </c>
      <c r="E26" s="7" t="s">
        <v>104</v>
      </c>
      <c r="F26" s="7" t="s">
        <v>105</v>
      </c>
      <c r="G26" s="7" t="s">
        <v>106</v>
      </c>
      <c r="H26" s="7" t="s">
        <v>107</v>
      </c>
      <c r="I26" s="16"/>
    </row>
    <row r="27" spans="2:9" ht="86.4">
      <c r="B27" s="18">
        <f>DATE(2026,9,9)</f>
        <v>46274</v>
      </c>
      <c r="C27" s="5" t="s">
        <v>108</v>
      </c>
      <c r="D27" s="7" t="s">
        <v>10</v>
      </c>
      <c r="E27" s="5" t="s">
        <v>109</v>
      </c>
      <c r="F27" s="5" t="s">
        <v>110</v>
      </c>
      <c r="G27" s="5" t="s">
        <v>111</v>
      </c>
      <c r="H27" s="5" t="s">
        <v>112</v>
      </c>
      <c r="I27" s="16"/>
    </row>
    <row r="28" spans="2:9" ht="86.4">
      <c r="B28" s="18">
        <f>DATE(2026,9,9)</f>
        <v>46274</v>
      </c>
      <c r="C28" s="5" t="s">
        <v>108</v>
      </c>
      <c r="D28" s="7" t="s">
        <v>10</v>
      </c>
      <c r="E28" s="5" t="s">
        <v>113</v>
      </c>
      <c r="F28" s="5" t="s">
        <v>114</v>
      </c>
      <c r="G28" s="5" t="s">
        <v>115</v>
      </c>
      <c r="H28" s="5" t="s">
        <v>116</v>
      </c>
      <c r="I28" s="16"/>
    </row>
    <row r="29" spans="2:9" ht="86.4">
      <c r="B29" s="18">
        <f>DATE(2026,9,9)</f>
        <v>46274</v>
      </c>
      <c r="C29" s="5" t="s">
        <v>108</v>
      </c>
      <c r="D29" s="7" t="s">
        <v>10</v>
      </c>
      <c r="E29" s="5" t="s">
        <v>117</v>
      </c>
      <c r="F29" s="5" t="s">
        <v>118</v>
      </c>
      <c r="G29" s="5" t="s">
        <v>119</v>
      </c>
      <c r="H29" s="5" t="s">
        <v>120</v>
      </c>
      <c r="I29" s="16"/>
    </row>
    <row r="30" spans="2:9" ht="86.4">
      <c r="B30" s="18">
        <f>DATE(2026,9,9)</f>
        <v>46274</v>
      </c>
      <c r="C30" s="5" t="s">
        <v>108</v>
      </c>
      <c r="D30" s="7" t="s">
        <v>10</v>
      </c>
      <c r="E30" s="5" t="s">
        <v>121</v>
      </c>
      <c r="F30" s="5" t="s">
        <v>122</v>
      </c>
      <c r="G30" s="5" t="s">
        <v>123</v>
      </c>
      <c r="H30" s="5" t="s">
        <v>124</v>
      </c>
      <c r="I30" s="16"/>
    </row>
    <row r="31" spans="2:9" ht="115.2">
      <c r="B31" s="18">
        <v>46294</v>
      </c>
      <c r="C31" s="5" t="s">
        <v>108</v>
      </c>
      <c r="D31" s="7" t="s">
        <v>125</v>
      </c>
      <c r="E31" s="5" t="s">
        <v>126</v>
      </c>
      <c r="F31" s="5" t="s">
        <v>127</v>
      </c>
      <c r="G31" s="5" t="s">
        <v>128</v>
      </c>
      <c r="H31" s="5" t="s">
        <v>129</v>
      </c>
      <c r="I31" s="5" t="s">
        <v>130</v>
      </c>
    </row>
    <row r="32" spans="2:9" ht="100.8">
      <c r="B32" s="18">
        <v>46294</v>
      </c>
      <c r="C32" s="5" t="s">
        <v>108</v>
      </c>
      <c r="D32" s="7" t="s">
        <v>125</v>
      </c>
      <c r="E32" s="5" t="s">
        <v>131</v>
      </c>
      <c r="F32" s="5" t="s">
        <v>132</v>
      </c>
      <c r="G32" s="5" t="s">
        <v>133</v>
      </c>
      <c r="H32" s="5" t="s">
        <v>134</v>
      </c>
      <c r="I32" s="5" t="s">
        <v>135</v>
      </c>
    </row>
    <row r="33" spans="2:9" ht="86.4">
      <c r="B33" s="18">
        <v>46294</v>
      </c>
      <c r="C33" s="5" t="s">
        <v>108</v>
      </c>
      <c r="D33" s="7" t="s">
        <v>125</v>
      </c>
      <c r="E33" s="5" t="s">
        <v>136</v>
      </c>
      <c r="F33" s="5" t="s">
        <v>137</v>
      </c>
      <c r="G33" s="5" t="s">
        <v>138</v>
      </c>
      <c r="H33" s="5" t="s">
        <v>139</v>
      </c>
      <c r="I33" s="5" t="s">
        <v>140</v>
      </c>
    </row>
    <row r="34" spans="2:9" ht="86.4">
      <c r="B34" s="18">
        <v>46294</v>
      </c>
      <c r="C34" s="5" t="s">
        <v>108</v>
      </c>
      <c r="D34" s="7" t="s">
        <v>125</v>
      </c>
      <c r="E34" s="5" t="s">
        <v>141</v>
      </c>
      <c r="F34" s="5" t="s">
        <v>142</v>
      </c>
      <c r="G34" s="5" t="s">
        <v>143</v>
      </c>
      <c r="H34" s="5" t="s">
        <v>144</v>
      </c>
      <c r="I34" s="5" t="s">
        <v>145</v>
      </c>
    </row>
    <row r="35" spans="2:9" ht="100.8">
      <c r="B35" s="18">
        <v>46294</v>
      </c>
      <c r="C35" s="5" t="s">
        <v>108</v>
      </c>
      <c r="D35" s="7" t="s">
        <v>125</v>
      </c>
      <c r="E35" s="5" t="s">
        <v>146</v>
      </c>
      <c r="F35" s="5" t="s">
        <v>147</v>
      </c>
      <c r="G35" s="5" t="s">
        <v>148</v>
      </c>
      <c r="H35" s="5" t="s">
        <v>149</v>
      </c>
      <c r="I35" s="5" t="s">
        <v>150</v>
      </c>
    </row>
    <row r="36" spans="2:9" ht="115.2">
      <c r="B36" s="18">
        <v>46294</v>
      </c>
      <c r="C36" s="5" t="s">
        <v>108</v>
      </c>
      <c r="D36" s="7" t="s">
        <v>125</v>
      </c>
      <c r="E36" s="5" t="s">
        <v>151</v>
      </c>
      <c r="F36" s="5" t="s">
        <v>152</v>
      </c>
      <c r="G36" s="5" t="s">
        <v>153</v>
      </c>
      <c r="H36" s="5" t="s">
        <v>154</v>
      </c>
      <c r="I36" s="5" t="s">
        <v>155</v>
      </c>
    </row>
    <row r="37" spans="2:9" ht="86.4">
      <c r="B37" s="18">
        <v>46294</v>
      </c>
      <c r="C37" s="5" t="s">
        <v>108</v>
      </c>
      <c r="D37" s="7" t="s">
        <v>125</v>
      </c>
      <c r="E37" s="5" t="s">
        <v>156</v>
      </c>
      <c r="F37" s="5" t="s">
        <v>157</v>
      </c>
      <c r="G37" s="5" t="s">
        <v>158</v>
      </c>
      <c r="H37" s="5" t="s">
        <v>159</v>
      </c>
      <c r="I37" s="5" t="s">
        <v>160</v>
      </c>
    </row>
    <row r="38" spans="2:9" ht="86.4">
      <c r="B38" s="18">
        <v>46294</v>
      </c>
      <c r="C38" s="5" t="s">
        <v>108</v>
      </c>
      <c r="D38" s="7" t="s">
        <v>125</v>
      </c>
      <c r="E38" s="5" t="s">
        <v>161</v>
      </c>
      <c r="F38" s="5" t="s">
        <v>162</v>
      </c>
      <c r="G38" s="5" t="s">
        <v>163</v>
      </c>
      <c r="H38" s="5" t="s">
        <v>164</v>
      </c>
      <c r="I38" s="5" t="s">
        <v>165</v>
      </c>
    </row>
    <row r="39" spans="2:9" ht="72">
      <c r="B39" s="18">
        <v>46294</v>
      </c>
      <c r="C39" s="5" t="s">
        <v>108</v>
      </c>
      <c r="D39" s="7" t="s">
        <v>125</v>
      </c>
      <c r="E39" s="5" t="s">
        <v>166</v>
      </c>
      <c r="F39" s="5" t="s">
        <v>167</v>
      </c>
      <c r="G39" s="5" t="s">
        <v>168</v>
      </c>
      <c r="H39" s="5" t="s">
        <v>169</v>
      </c>
      <c r="I39" s="5" t="s">
        <v>170</v>
      </c>
    </row>
    <row r="40" spans="2:9" ht="57.6">
      <c r="B40" s="18">
        <v>46294</v>
      </c>
      <c r="C40" s="5" t="s">
        <v>108</v>
      </c>
      <c r="D40" s="7" t="s">
        <v>125</v>
      </c>
      <c r="E40" s="5" t="s">
        <v>171</v>
      </c>
      <c r="F40" s="5" t="s">
        <v>172</v>
      </c>
      <c r="G40" s="5" t="s">
        <v>173</v>
      </c>
      <c r="H40" s="5" t="s">
        <v>174</v>
      </c>
      <c r="I40" s="5" t="s">
        <v>175</v>
      </c>
    </row>
    <row r="41" spans="2:9" ht="129.6">
      <c r="B41" s="18">
        <v>46294</v>
      </c>
      <c r="C41" s="5" t="s">
        <v>108</v>
      </c>
      <c r="D41" s="7" t="s">
        <v>125</v>
      </c>
      <c r="E41" s="5" t="s">
        <v>176</v>
      </c>
      <c r="F41" s="5" t="s">
        <v>177</v>
      </c>
      <c r="G41" s="5" t="s">
        <v>178</v>
      </c>
      <c r="H41" s="5" t="s">
        <v>139</v>
      </c>
      <c r="I41" s="5" t="s">
        <v>179</v>
      </c>
    </row>
    <row r="42" spans="2:9" ht="43.2">
      <c r="B42" s="18">
        <v>46294</v>
      </c>
      <c r="C42" s="5" t="s">
        <v>67</v>
      </c>
      <c r="D42" s="7" t="s">
        <v>180</v>
      </c>
      <c r="E42" s="5" t="s">
        <v>181</v>
      </c>
      <c r="F42" s="5" t="s">
        <v>182</v>
      </c>
      <c r="G42" s="5" t="s">
        <v>206</v>
      </c>
      <c r="H42" s="5" t="s">
        <v>183</v>
      </c>
      <c r="I42" s="5" t="s">
        <v>184</v>
      </c>
    </row>
    <row r="43" spans="2:9" ht="72">
      <c r="B43" s="18">
        <v>46294</v>
      </c>
      <c r="C43" s="5" t="s">
        <v>67</v>
      </c>
      <c r="D43" s="7" t="s">
        <v>180</v>
      </c>
      <c r="E43" s="5" t="s">
        <v>203</v>
      </c>
      <c r="F43" s="5" t="s">
        <v>204</v>
      </c>
      <c r="G43" s="5" t="s">
        <v>209</v>
      </c>
      <c r="H43" s="5" t="s">
        <v>208</v>
      </c>
      <c r="I43" s="5" t="s">
        <v>205</v>
      </c>
    </row>
    <row r="44" spans="2:9" ht="57.6">
      <c r="B44" s="18">
        <v>46295</v>
      </c>
      <c r="C44" s="5" t="s">
        <v>67</v>
      </c>
      <c r="D44" s="7" t="s">
        <v>180</v>
      </c>
      <c r="E44" s="5" t="s">
        <v>199</v>
      </c>
      <c r="F44" s="5" t="s">
        <v>200</v>
      </c>
      <c r="G44" s="5" t="s">
        <v>201</v>
      </c>
      <c r="H44" s="5" t="s">
        <v>207</v>
      </c>
      <c r="I44" s="5" t="s">
        <v>202</v>
      </c>
    </row>
    <row r="45" spans="2:9" ht="43.2">
      <c r="B45" s="18">
        <v>46295</v>
      </c>
      <c r="C45" s="5" t="s">
        <v>67</v>
      </c>
      <c r="D45" s="7" t="s">
        <v>180</v>
      </c>
      <c r="E45" s="16" t="s">
        <v>185</v>
      </c>
      <c r="F45" s="14" t="s">
        <v>186</v>
      </c>
      <c r="G45" s="14" t="s">
        <v>187</v>
      </c>
      <c r="H45" s="14" t="s">
        <v>188</v>
      </c>
      <c r="I45" s="5" t="s">
        <v>189</v>
      </c>
    </row>
    <row r="46" spans="2:9" ht="43.2">
      <c r="B46" s="18">
        <v>46295</v>
      </c>
      <c r="C46" s="5" t="s">
        <v>67</v>
      </c>
      <c r="D46" s="7" t="s">
        <v>180</v>
      </c>
      <c r="E46" s="5" t="s">
        <v>190</v>
      </c>
      <c r="F46" s="5" t="s">
        <v>191</v>
      </c>
      <c r="G46" s="5" t="s">
        <v>192</v>
      </c>
      <c r="H46" s="5" t="s">
        <v>193</v>
      </c>
      <c r="I46" s="5" t="s">
        <v>194</v>
      </c>
    </row>
    <row r="47" spans="2:9" ht="43.2">
      <c r="B47" s="18">
        <v>46295</v>
      </c>
      <c r="C47" s="5" t="s">
        <v>67</v>
      </c>
      <c r="D47" s="7" t="s">
        <v>180</v>
      </c>
      <c r="E47" s="16" t="s">
        <v>195</v>
      </c>
      <c r="F47" s="5" t="s">
        <v>196</v>
      </c>
      <c r="G47" s="5" t="s">
        <v>197</v>
      </c>
      <c r="H47" s="5" t="s">
        <v>183</v>
      </c>
      <c r="I47" s="5" t="s">
        <v>198</v>
      </c>
    </row>
    <row r="48" spans="2:9" ht="144">
      <c r="B48" s="18">
        <v>46295</v>
      </c>
      <c r="C48" s="5" t="s">
        <v>9</v>
      </c>
      <c r="D48" s="7" t="s">
        <v>10</v>
      </c>
      <c r="E48" s="5" t="s">
        <v>210</v>
      </c>
      <c r="F48" s="5" t="s">
        <v>211</v>
      </c>
      <c r="G48" s="5" t="s">
        <v>212</v>
      </c>
      <c r="H48" s="5" t="s">
        <v>183</v>
      </c>
      <c r="I48" s="5" t="s">
        <v>213</v>
      </c>
    </row>
    <row r="49" spans="2:9" ht="187.2">
      <c r="B49" s="18">
        <v>46295</v>
      </c>
      <c r="C49" s="5" t="s">
        <v>9</v>
      </c>
      <c r="D49" s="7" t="s">
        <v>180</v>
      </c>
      <c r="E49" s="5" t="s">
        <v>214</v>
      </c>
      <c r="F49" s="5" t="s">
        <v>215</v>
      </c>
      <c r="G49" s="5" t="s">
        <v>216</v>
      </c>
      <c r="H49" s="5" t="s">
        <v>183</v>
      </c>
      <c r="I49" s="5" t="s">
        <v>217</v>
      </c>
    </row>
    <row r="50" spans="2:9" ht="144">
      <c r="B50" s="18">
        <v>46295</v>
      </c>
      <c r="C50" s="5" t="s">
        <v>9</v>
      </c>
      <c r="D50" s="7" t="s">
        <v>10</v>
      </c>
      <c r="E50" s="5" t="s">
        <v>218</v>
      </c>
      <c r="F50" s="5" t="s">
        <v>219</v>
      </c>
      <c r="G50" s="5" t="s">
        <v>220</v>
      </c>
      <c r="H50" s="5" t="s">
        <v>221</v>
      </c>
      <c r="I50" s="5" t="s">
        <v>222</v>
      </c>
    </row>
    <row r="51" spans="2:9" ht="187.2">
      <c r="B51" s="18">
        <v>46295</v>
      </c>
      <c r="C51" s="5" t="s">
        <v>9</v>
      </c>
      <c r="D51" s="7" t="s">
        <v>180</v>
      </c>
      <c r="E51" s="5" t="s">
        <v>223</v>
      </c>
      <c r="F51" s="5" t="s">
        <v>224</v>
      </c>
      <c r="G51" s="5" t="s">
        <v>225</v>
      </c>
      <c r="H51" s="5" t="s">
        <v>226</v>
      </c>
      <c r="I51" s="5" t="s">
        <v>227</v>
      </c>
    </row>
    <row r="52" spans="2:9" ht="144">
      <c r="B52" s="18">
        <v>46295</v>
      </c>
      <c r="C52" s="5" t="s">
        <v>9</v>
      </c>
      <c r="D52" s="7" t="s">
        <v>10</v>
      </c>
      <c r="E52" s="5" t="s">
        <v>228</v>
      </c>
      <c r="F52" s="5" t="s">
        <v>229</v>
      </c>
      <c r="G52" s="5" t="s">
        <v>231</v>
      </c>
      <c r="H52" s="5" t="s">
        <v>230</v>
      </c>
      <c r="I52" s="5" t="s">
        <v>232</v>
      </c>
    </row>
    <row r="53" spans="2:9" ht="115.2">
      <c r="B53" s="18">
        <v>46295</v>
      </c>
      <c r="C53" s="5" t="s">
        <v>9</v>
      </c>
      <c r="D53" s="7" t="s">
        <v>180</v>
      </c>
      <c r="E53" s="5" t="s">
        <v>233</v>
      </c>
      <c r="F53" s="5" t="s">
        <v>234</v>
      </c>
      <c r="G53" s="5" t="s">
        <v>235</v>
      </c>
      <c r="H53" s="5" t="s">
        <v>183</v>
      </c>
      <c r="I53" s="5" t="s">
        <v>236</v>
      </c>
    </row>
    <row r="54" spans="2:9" ht="288">
      <c r="B54" s="18">
        <v>46306</v>
      </c>
      <c r="C54" s="5" t="s">
        <v>9</v>
      </c>
      <c r="D54" s="7" t="s">
        <v>180</v>
      </c>
      <c r="E54" s="5" t="s">
        <v>237</v>
      </c>
      <c r="F54" s="5" t="s">
        <v>238</v>
      </c>
      <c r="G54" s="5" t="s">
        <v>241</v>
      </c>
      <c r="H54" s="5" t="s">
        <v>239</v>
      </c>
      <c r="I54" s="5" t="s">
        <v>240</v>
      </c>
    </row>
    <row r="55" spans="2:9" ht="273.60000000000002">
      <c r="B55" s="18">
        <v>46307</v>
      </c>
      <c r="C55" s="5" t="s">
        <v>9</v>
      </c>
      <c r="D55" s="7" t="s">
        <v>180</v>
      </c>
      <c r="E55" s="5" t="s">
        <v>242</v>
      </c>
      <c r="F55" s="5" t="s">
        <v>243</v>
      </c>
      <c r="G55" s="5" t="s">
        <v>244</v>
      </c>
      <c r="H55" s="5" t="s">
        <v>239</v>
      </c>
      <c r="I55" s="5" t="s">
        <v>245</v>
      </c>
    </row>
    <row r="56" spans="2:9" ht="409.35" customHeight="1">
      <c r="B56" s="18">
        <v>46308</v>
      </c>
      <c r="C56" s="5" t="s">
        <v>9</v>
      </c>
      <c r="D56" s="7" t="s">
        <v>180</v>
      </c>
      <c r="E56" s="5" t="s">
        <v>246</v>
      </c>
      <c r="F56" s="5" t="s">
        <v>247</v>
      </c>
      <c r="G56" s="5" t="s">
        <v>248</v>
      </c>
      <c r="H56" s="5" t="s">
        <v>249</v>
      </c>
      <c r="I56" s="5" t="s">
        <v>250</v>
      </c>
    </row>
    <row r="57" spans="2:9" ht="345.6">
      <c r="B57" s="18">
        <v>46308</v>
      </c>
      <c r="C57" s="5" t="s">
        <v>9</v>
      </c>
      <c r="D57" s="7" t="s">
        <v>180</v>
      </c>
      <c r="E57" s="5" t="s">
        <v>251</v>
      </c>
      <c r="F57" s="5" t="s">
        <v>252</v>
      </c>
      <c r="G57" s="5" t="s">
        <v>253</v>
      </c>
      <c r="H57" s="5" t="s">
        <v>254</v>
      </c>
      <c r="I57" s="5" t="s">
        <v>255</v>
      </c>
    </row>
    <row r="58" spans="2:9" ht="172.8">
      <c r="B58" s="18">
        <v>46308</v>
      </c>
      <c r="C58" s="5" t="s">
        <v>9</v>
      </c>
      <c r="D58" s="7" t="s">
        <v>180</v>
      </c>
      <c r="E58" s="5" t="s">
        <v>256</v>
      </c>
      <c r="F58" s="5" t="s">
        <v>257</v>
      </c>
      <c r="G58" s="5" t="s">
        <v>258</v>
      </c>
      <c r="H58" s="5" t="s">
        <v>259</v>
      </c>
      <c r="I58" s="5" t="s">
        <v>260</v>
      </c>
    </row>
    <row r="59" spans="2:9" ht="288">
      <c r="B59" s="18">
        <v>46308</v>
      </c>
      <c r="C59" s="5" t="s">
        <v>9</v>
      </c>
      <c r="D59" s="7" t="s">
        <v>180</v>
      </c>
      <c r="E59" s="5" t="s">
        <v>261</v>
      </c>
      <c r="F59" s="5" t="s">
        <v>262</v>
      </c>
      <c r="G59" s="5" t="s">
        <v>263</v>
      </c>
      <c r="H59" s="5" t="s">
        <v>264</v>
      </c>
      <c r="I59" s="5" t="s">
        <v>265</v>
      </c>
    </row>
    <row r="60" spans="2:9" ht="129.6">
      <c r="B60" s="18">
        <f>DATE(2026,10,13)</f>
        <v>46308</v>
      </c>
      <c r="C60" s="5" t="s">
        <v>67</v>
      </c>
      <c r="D60" s="7" t="s">
        <v>10</v>
      </c>
      <c r="E60" s="5" t="s">
        <v>296</v>
      </c>
      <c r="F60" s="5" t="s">
        <v>297</v>
      </c>
      <c r="G60" s="5" t="s">
        <v>298</v>
      </c>
      <c r="H60" s="5" t="s">
        <v>299</v>
      </c>
      <c r="I60" s="5" t="s">
        <v>300</v>
      </c>
    </row>
    <row r="61" spans="2:9" ht="100.8">
      <c r="B61" s="18">
        <f>DATE(2026,10,13)</f>
        <v>46308</v>
      </c>
      <c r="C61" s="5" t="s">
        <v>67</v>
      </c>
      <c r="D61" s="7" t="s">
        <v>10</v>
      </c>
      <c r="E61" s="5" t="s">
        <v>301</v>
      </c>
      <c r="F61" s="5" t="s">
        <v>302</v>
      </c>
      <c r="G61" s="5" t="s">
        <v>303</v>
      </c>
      <c r="H61" s="5" t="s">
        <v>304</v>
      </c>
      <c r="I61" s="5" t="s">
        <v>305</v>
      </c>
    </row>
    <row r="62" spans="2:9" ht="57.6">
      <c r="B62" s="18">
        <v>46309</v>
      </c>
      <c r="C62" s="5" t="s">
        <v>9</v>
      </c>
      <c r="D62" s="7" t="s">
        <v>10</v>
      </c>
      <c r="E62" s="5" t="s">
        <v>266</v>
      </c>
      <c r="F62" s="5" t="s">
        <v>267</v>
      </c>
      <c r="G62" s="5" t="s">
        <v>268</v>
      </c>
      <c r="H62" s="5" t="s">
        <v>269</v>
      </c>
      <c r="I62" s="5" t="s">
        <v>295</v>
      </c>
    </row>
    <row r="63" spans="2:9" ht="115.2">
      <c r="B63" s="18">
        <f>DATE(2026,10,14)</f>
        <v>46309</v>
      </c>
      <c r="C63" s="5" t="s">
        <v>67</v>
      </c>
      <c r="D63" s="7" t="s">
        <v>10</v>
      </c>
      <c r="E63" s="5" t="s">
        <v>306</v>
      </c>
      <c r="F63" s="5" t="s">
        <v>307</v>
      </c>
      <c r="G63" s="5" t="s">
        <v>308</v>
      </c>
      <c r="H63" s="5" t="s">
        <v>309</v>
      </c>
      <c r="I63" s="5" t="s">
        <v>310</v>
      </c>
    </row>
    <row r="64" spans="2:9" ht="72">
      <c r="B64" s="18">
        <f>DATE(2026,10,14)</f>
        <v>46309</v>
      </c>
      <c r="C64" s="5" t="s">
        <v>326</v>
      </c>
      <c r="D64" s="7" t="s">
        <v>10</v>
      </c>
      <c r="E64" s="5" t="s">
        <v>327</v>
      </c>
      <c r="F64" s="5" t="s">
        <v>328</v>
      </c>
      <c r="G64" s="5" t="s">
        <v>329</v>
      </c>
      <c r="H64" s="5" t="s">
        <v>330</v>
      </c>
      <c r="I64" s="5" t="s">
        <v>331</v>
      </c>
    </row>
    <row r="65" spans="2:9" ht="86.4">
      <c r="B65" s="18">
        <f>DATE(2026,10,14)</f>
        <v>46309</v>
      </c>
      <c r="C65" s="5" t="s">
        <v>326</v>
      </c>
      <c r="D65" s="7" t="s">
        <v>10</v>
      </c>
      <c r="E65" s="5" t="s">
        <v>332</v>
      </c>
      <c r="F65" s="5" t="s">
        <v>333</v>
      </c>
      <c r="G65" s="5" t="s">
        <v>334</v>
      </c>
      <c r="H65" s="5" t="s">
        <v>335</v>
      </c>
      <c r="I65" s="5" t="s">
        <v>336</v>
      </c>
    </row>
    <row r="66" spans="2:9" ht="86.4">
      <c r="B66" s="18">
        <f>DATE(2026,10,14)</f>
        <v>46309</v>
      </c>
      <c r="C66" s="5" t="s">
        <v>326</v>
      </c>
      <c r="D66" s="7" t="s">
        <v>10</v>
      </c>
      <c r="E66" s="5" t="s">
        <v>337</v>
      </c>
      <c r="F66" s="5" t="s">
        <v>338</v>
      </c>
      <c r="G66" s="5" t="s">
        <v>339</v>
      </c>
      <c r="H66" s="5" t="s">
        <v>340</v>
      </c>
      <c r="I66" s="5" t="s">
        <v>341</v>
      </c>
    </row>
    <row r="67" spans="2:9" ht="57.6">
      <c r="B67" s="18">
        <f>DATE(2026,10,14)</f>
        <v>46309</v>
      </c>
      <c r="C67" s="5" t="s">
        <v>326</v>
      </c>
      <c r="D67" s="7" t="s">
        <v>10</v>
      </c>
      <c r="E67" s="5" t="s">
        <v>342</v>
      </c>
      <c r="F67" s="5" t="s">
        <v>343</v>
      </c>
      <c r="G67" s="5" t="s">
        <v>344</v>
      </c>
      <c r="H67" s="5" t="s">
        <v>345</v>
      </c>
      <c r="I67" s="5" t="s">
        <v>346</v>
      </c>
    </row>
    <row r="68" spans="2:9" ht="129.6">
      <c r="B68" s="18">
        <v>46310</v>
      </c>
      <c r="C68" s="5" t="s">
        <v>9</v>
      </c>
      <c r="D68" s="7" t="s">
        <v>10</v>
      </c>
      <c r="E68" s="5" t="s">
        <v>270</v>
      </c>
      <c r="F68" s="5" t="s">
        <v>271</v>
      </c>
      <c r="G68" s="5" t="s">
        <v>272</v>
      </c>
      <c r="H68" s="5" t="s">
        <v>273</v>
      </c>
      <c r="I68" s="5" t="s">
        <v>274</v>
      </c>
    </row>
    <row r="69" spans="2:9" ht="86.4">
      <c r="B69" s="18">
        <v>46310</v>
      </c>
      <c r="C69" s="5" t="s">
        <v>9</v>
      </c>
      <c r="D69" s="7" t="s">
        <v>10</v>
      </c>
      <c r="E69" s="5" t="s">
        <v>275</v>
      </c>
      <c r="F69" s="5" t="s">
        <v>276</v>
      </c>
      <c r="G69" s="5" t="s">
        <v>277</v>
      </c>
      <c r="H69" s="5" t="s">
        <v>278</v>
      </c>
      <c r="I69" s="5" t="s">
        <v>279</v>
      </c>
    </row>
    <row r="70" spans="2:9" ht="57.6">
      <c r="B70" s="18">
        <v>46310</v>
      </c>
      <c r="C70" s="5" t="s">
        <v>9</v>
      </c>
      <c r="D70" s="7" t="s">
        <v>10</v>
      </c>
      <c r="E70" s="5" t="s">
        <v>280</v>
      </c>
      <c r="F70" s="5" t="s">
        <v>281</v>
      </c>
      <c r="G70" s="5" t="s">
        <v>282</v>
      </c>
      <c r="H70" s="5" t="s">
        <v>283</v>
      </c>
      <c r="I70" s="5" t="s">
        <v>284</v>
      </c>
    </row>
    <row r="71" spans="2:9" ht="86.4">
      <c r="B71" s="18">
        <v>46310</v>
      </c>
      <c r="C71" s="5" t="s">
        <v>9</v>
      </c>
      <c r="D71" s="7" t="s">
        <v>10</v>
      </c>
      <c r="E71" s="5" t="s">
        <v>285</v>
      </c>
      <c r="F71" s="5" t="s">
        <v>286</v>
      </c>
      <c r="G71" s="5" t="s">
        <v>287</v>
      </c>
      <c r="H71" s="5" t="s">
        <v>288</v>
      </c>
      <c r="I71" s="5" t="s">
        <v>289</v>
      </c>
    </row>
    <row r="72" spans="2:9" ht="100.8">
      <c r="B72" s="18">
        <v>46310</v>
      </c>
      <c r="C72" s="5" t="s">
        <v>9</v>
      </c>
      <c r="D72" s="7" t="s">
        <v>10</v>
      </c>
      <c r="E72" s="5" t="s">
        <v>290</v>
      </c>
      <c r="F72" s="5" t="s">
        <v>291</v>
      </c>
      <c r="G72" s="5" t="s">
        <v>292</v>
      </c>
      <c r="H72" s="5" t="s">
        <v>293</v>
      </c>
      <c r="I72" s="5" t="s">
        <v>294</v>
      </c>
    </row>
    <row r="73" spans="2:9" ht="86.4">
      <c r="B73" s="18">
        <f>DATE(2026,10,15)</f>
        <v>46310</v>
      </c>
      <c r="C73" s="5" t="s">
        <v>326</v>
      </c>
      <c r="D73" s="7" t="s">
        <v>10</v>
      </c>
      <c r="E73" s="5" t="s">
        <v>347</v>
      </c>
      <c r="F73" s="5" t="s">
        <v>348</v>
      </c>
      <c r="G73" s="5" t="s">
        <v>349</v>
      </c>
      <c r="H73" s="5" t="s">
        <v>350</v>
      </c>
      <c r="I73" s="5" t="s">
        <v>351</v>
      </c>
    </row>
    <row r="74" spans="2:9" ht="100.8">
      <c r="B74" s="18">
        <f>DATE(2026,10,15)</f>
        <v>46310</v>
      </c>
      <c r="C74" s="5" t="s">
        <v>326</v>
      </c>
      <c r="D74" s="7" t="s">
        <v>10</v>
      </c>
      <c r="E74" s="5" t="s">
        <v>352</v>
      </c>
      <c r="F74" s="5" t="s">
        <v>353</v>
      </c>
      <c r="G74" s="5" t="s">
        <v>354</v>
      </c>
      <c r="H74" s="5" t="s">
        <v>355</v>
      </c>
      <c r="I74" s="5" t="s">
        <v>356</v>
      </c>
    </row>
    <row r="75" spans="2:9" ht="86.4">
      <c r="B75" s="18">
        <f>DATE(2026,10,15)</f>
        <v>46310</v>
      </c>
      <c r="C75" s="5" t="s">
        <v>326</v>
      </c>
      <c r="D75" s="7" t="s">
        <v>10</v>
      </c>
      <c r="E75" s="5" t="s">
        <v>357</v>
      </c>
      <c r="F75" s="5" t="s">
        <v>358</v>
      </c>
      <c r="G75" s="5" t="s">
        <v>359</v>
      </c>
      <c r="H75" s="5" t="s">
        <v>360</v>
      </c>
      <c r="I75" s="5" t="s">
        <v>361</v>
      </c>
    </row>
    <row r="76" spans="2:9" ht="158.4">
      <c r="B76" s="18">
        <f>DATE(2026,10,15)</f>
        <v>46310</v>
      </c>
      <c r="C76" s="5" t="s">
        <v>326</v>
      </c>
      <c r="D76" s="7" t="s">
        <v>10</v>
      </c>
      <c r="E76" s="5" t="s">
        <v>362</v>
      </c>
      <c r="F76" s="5" t="s">
        <v>363</v>
      </c>
      <c r="G76" s="5" t="s">
        <v>364</v>
      </c>
      <c r="H76" s="5" t="s">
        <v>365</v>
      </c>
      <c r="I76" s="5" t="s">
        <v>366</v>
      </c>
    </row>
    <row r="77" spans="2:9" ht="72">
      <c r="B77" s="18">
        <f>DATE(2026,10,15)</f>
        <v>46310</v>
      </c>
      <c r="C77" s="5" t="s">
        <v>326</v>
      </c>
      <c r="D77" s="7" t="s">
        <v>10</v>
      </c>
      <c r="E77" s="5" t="s">
        <v>367</v>
      </c>
      <c r="F77" s="5" t="s">
        <v>368</v>
      </c>
      <c r="G77" s="5" t="s">
        <v>369</v>
      </c>
      <c r="H77" s="5" t="s">
        <v>370</v>
      </c>
      <c r="I77" s="5" t="s">
        <v>371</v>
      </c>
    </row>
    <row r="78" spans="2:9" ht="57.6">
      <c r="B78" s="18">
        <f>DATE(2026,10,15)</f>
        <v>46310</v>
      </c>
      <c r="C78" s="5" t="s">
        <v>326</v>
      </c>
      <c r="D78" s="7" t="s">
        <v>10</v>
      </c>
      <c r="E78" s="5" t="s">
        <v>372</v>
      </c>
      <c r="F78" s="5" t="s">
        <v>373</v>
      </c>
      <c r="G78" s="5" t="s">
        <v>374</v>
      </c>
      <c r="H78" s="5" t="s">
        <v>139</v>
      </c>
      <c r="I78" s="5" t="s">
        <v>375</v>
      </c>
    </row>
    <row r="79" spans="2:9" ht="72">
      <c r="B79" s="18">
        <f>DATE(2026,10,16)</f>
        <v>46311</v>
      </c>
      <c r="C79" s="5" t="s">
        <v>67</v>
      </c>
      <c r="D79" s="7" t="s">
        <v>10</v>
      </c>
      <c r="E79" s="5" t="s">
        <v>311</v>
      </c>
      <c r="F79" s="5" t="s">
        <v>312</v>
      </c>
      <c r="G79" s="5" t="s">
        <v>313</v>
      </c>
      <c r="H79" s="5" t="s">
        <v>314</v>
      </c>
      <c r="I79" s="5" t="s">
        <v>315</v>
      </c>
    </row>
    <row r="80" spans="2:9" ht="72">
      <c r="B80" s="18">
        <f>DATE(2026,10,16)</f>
        <v>46311</v>
      </c>
      <c r="C80" s="5" t="s">
        <v>67</v>
      </c>
      <c r="D80" s="7" t="s">
        <v>10</v>
      </c>
      <c r="E80" s="5" t="s">
        <v>316</v>
      </c>
      <c r="F80" s="5" t="s">
        <v>317</v>
      </c>
      <c r="G80" s="5" t="s">
        <v>318</v>
      </c>
      <c r="H80" s="5" t="s">
        <v>319</v>
      </c>
      <c r="I80" s="5" t="s">
        <v>320</v>
      </c>
    </row>
    <row r="81" spans="2:9" ht="115.2">
      <c r="B81" s="18">
        <f>DATE(2026,10,16)</f>
        <v>46311</v>
      </c>
      <c r="C81" s="5" t="s">
        <v>67</v>
      </c>
      <c r="D81" s="7" t="s">
        <v>10</v>
      </c>
      <c r="E81" s="5" t="s">
        <v>321</v>
      </c>
      <c r="F81" s="5" t="s">
        <v>322</v>
      </c>
      <c r="G81" s="5" t="s">
        <v>323</v>
      </c>
      <c r="H81" s="5" t="s">
        <v>324</v>
      </c>
      <c r="I81" s="5" t="s">
        <v>325</v>
      </c>
    </row>
    <row r="82" spans="2:9" ht="72">
      <c r="B82" s="18">
        <f>DATE(2026,10,16)</f>
        <v>46311</v>
      </c>
      <c r="C82" s="5" t="s">
        <v>326</v>
      </c>
      <c r="D82" s="7" t="s">
        <v>10</v>
      </c>
      <c r="E82" s="5" t="s">
        <v>376</v>
      </c>
      <c r="F82" s="5" t="s">
        <v>377</v>
      </c>
      <c r="G82" s="5" t="s">
        <v>378</v>
      </c>
      <c r="H82" s="5" t="s">
        <v>379</v>
      </c>
      <c r="I82" s="5" t="s">
        <v>380</v>
      </c>
    </row>
    <row r="83" spans="2:9">
      <c r="B83" s="8"/>
      <c r="C83" s="5"/>
      <c r="D83" s="7"/>
      <c r="E83" s="5"/>
      <c r="F83" s="5"/>
      <c r="G83" s="5"/>
      <c r="H83" s="5"/>
      <c r="I83" s="5"/>
    </row>
    <row r="84" spans="2:9">
      <c r="B84" s="8"/>
      <c r="C84" s="5"/>
      <c r="D84" s="7"/>
      <c r="E84" s="5"/>
      <c r="F84" s="5"/>
      <c r="G84" s="5"/>
      <c r="H84" s="5"/>
      <c r="I84" s="5"/>
    </row>
    <row r="85" spans="2:9">
      <c r="B85" s="8"/>
      <c r="C85" s="5"/>
      <c r="D85" s="7"/>
      <c r="E85" s="5"/>
      <c r="F85" s="5"/>
      <c r="G85" s="5"/>
      <c r="H85" s="5"/>
      <c r="I85" s="5"/>
    </row>
    <row r="86" spans="2:9">
      <c r="B86" s="8"/>
      <c r="C86" s="5"/>
      <c r="D86" s="7"/>
      <c r="E86" s="5"/>
      <c r="F86" s="5"/>
      <c r="G86" s="5"/>
      <c r="H86" s="5"/>
      <c r="I86" s="5"/>
    </row>
    <row r="87" spans="2:9">
      <c r="B87" s="8"/>
      <c r="C87" s="5"/>
      <c r="D87" s="7"/>
      <c r="E87" s="5"/>
      <c r="F87" s="5"/>
      <c r="G87" s="5"/>
      <c r="H87" s="5"/>
      <c r="I87" s="5"/>
    </row>
    <row r="88" spans="2:9">
      <c r="B88" s="8"/>
      <c r="C88" s="5"/>
      <c r="D88" s="7"/>
      <c r="E88" s="5"/>
      <c r="F88" s="5"/>
      <c r="G88" s="5"/>
      <c r="H88" s="5"/>
      <c r="I88" s="5"/>
    </row>
    <row r="89" spans="2:9">
      <c r="B89" s="8"/>
      <c r="C89" s="5"/>
      <c r="D89" s="7"/>
      <c r="E89" s="5"/>
      <c r="F89" s="5"/>
      <c r="G89" s="5"/>
      <c r="H89" s="5"/>
      <c r="I89" s="5"/>
    </row>
    <row r="90" spans="2:9">
      <c r="B90" s="8"/>
      <c r="C90" s="5"/>
      <c r="D90" s="7"/>
      <c r="E90" s="5"/>
      <c r="F90" s="5"/>
      <c r="G90" s="5"/>
      <c r="H90" s="5"/>
      <c r="I90" s="5"/>
    </row>
    <row r="91" spans="2:9">
      <c r="B91" s="8"/>
      <c r="C91" s="5"/>
      <c r="D91" s="7"/>
      <c r="E91" s="5"/>
      <c r="F91" s="5"/>
      <c r="G91" s="5"/>
      <c r="H91" s="5"/>
      <c r="I91" s="5"/>
    </row>
    <row r="92" spans="2:9">
      <c r="B92" s="8"/>
      <c r="C92" s="5"/>
      <c r="D92" s="7"/>
      <c r="E92" s="5"/>
      <c r="F92" s="5"/>
      <c r="G92" s="5"/>
      <c r="H92" s="5"/>
      <c r="I92" s="5"/>
    </row>
    <row r="93" spans="2:9">
      <c r="B93" s="8"/>
      <c r="C93" s="5"/>
      <c r="D93" s="7"/>
      <c r="E93" s="5"/>
      <c r="F93" s="5"/>
      <c r="G93" s="5"/>
      <c r="H93" s="5"/>
      <c r="I93" s="5"/>
    </row>
    <row r="94" spans="2:9">
      <c r="B94" s="8"/>
      <c r="C94" s="5"/>
      <c r="D94" s="7"/>
      <c r="E94" s="5"/>
      <c r="F94" s="5"/>
      <c r="G94" s="5"/>
      <c r="H94" s="5"/>
      <c r="I94" s="5"/>
    </row>
    <row r="95" spans="2:9">
      <c r="B95" s="8"/>
      <c r="C95" s="5"/>
      <c r="D95" s="7"/>
      <c r="E95" s="5"/>
      <c r="F95" s="5"/>
      <c r="G95" s="5"/>
      <c r="H95" s="5"/>
      <c r="I95" s="5"/>
    </row>
    <row r="96" spans="2:9">
      <c r="B96" s="8"/>
      <c r="C96" s="5"/>
      <c r="D96" s="7"/>
      <c r="E96" s="5"/>
      <c r="F96" s="5"/>
      <c r="G96" s="5"/>
      <c r="H96" s="5"/>
      <c r="I96" s="5"/>
    </row>
    <row r="97" spans="2:9">
      <c r="B97" s="8"/>
      <c r="C97" s="5"/>
      <c r="D97" s="7"/>
      <c r="E97" s="5"/>
      <c r="F97" s="5"/>
      <c r="G97" s="5"/>
      <c r="H97" s="5"/>
      <c r="I97" s="5"/>
    </row>
    <row r="98" spans="2:9">
      <c r="B98" s="8"/>
      <c r="C98" s="5"/>
      <c r="D98" s="7"/>
      <c r="E98" s="5"/>
      <c r="F98" s="5"/>
      <c r="G98" s="5"/>
      <c r="H98" s="5"/>
      <c r="I98" s="5"/>
    </row>
    <row r="99" spans="2:9">
      <c r="B99" s="8"/>
      <c r="C99" s="5"/>
      <c r="D99" s="7"/>
      <c r="E99" s="5"/>
      <c r="F99" s="5"/>
      <c r="G99" s="5"/>
      <c r="H99" s="5"/>
      <c r="I99" s="5"/>
    </row>
    <row r="100" spans="2:9">
      <c r="B100" s="8"/>
      <c r="C100" s="5"/>
      <c r="D100" s="7"/>
      <c r="E100" s="5"/>
      <c r="F100" s="5"/>
      <c r="G100" s="5"/>
      <c r="H100" s="5"/>
      <c r="I100" s="5"/>
    </row>
    <row r="101" spans="2:9">
      <c r="B101" s="8"/>
      <c r="C101" s="5"/>
      <c r="D101" s="7"/>
      <c r="E101" s="5"/>
      <c r="F101" s="5"/>
      <c r="G101" s="5"/>
      <c r="H101" s="5"/>
      <c r="I101" s="5"/>
    </row>
    <row r="102" spans="2:9">
      <c r="B102" s="8"/>
      <c r="C102" s="5"/>
      <c r="D102" s="7"/>
      <c r="E102" s="5"/>
      <c r="F102" s="5"/>
      <c r="G102" s="5"/>
      <c r="H102" s="5"/>
      <c r="I102" s="5"/>
    </row>
    <row r="103" spans="2:9">
      <c r="B103" s="8"/>
      <c r="C103" s="5"/>
      <c r="D103" s="7"/>
      <c r="E103" s="5"/>
      <c r="F103" s="5"/>
      <c r="G103" s="5"/>
      <c r="H103" s="5"/>
      <c r="I103" s="5"/>
    </row>
    <row r="104" spans="2:9">
      <c r="B104" s="8"/>
      <c r="C104" s="5"/>
      <c r="D104" s="7"/>
      <c r="E104" s="5"/>
      <c r="F104" s="5"/>
      <c r="G104" s="5"/>
      <c r="H104" s="5"/>
      <c r="I104" s="5"/>
    </row>
    <row r="105" spans="2:9">
      <c r="B105" s="8"/>
      <c r="C105" s="5"/>
      <c r="D105" s="7"/>
      <c r="E105" s="5"/>
      <c r="F105" s="5"/>
      <c r="G105" s="5"/>
      <c r="H105" s="5"/>
      <c r="I105" s="5"/>
    </row>
    <row r="106" spans="2:9">
      <c r="B106" s="8"/>
      <c r="C106" s="5"/>
      <c r="D106" s="7"/>
      <c r="E106" s="5"/>
      <c r="F106" s="5"/>
      <c r="G106" s="5"/>
      <c r="H106" s="5"/>
      <c r="I106" s="5"/>
    </row>
    <row r="107" spans="2:9">
      <c r="B107" s="8"/>
      <c r="C107" s="5"/>
      <c r="D107" s="7"/>
      <c r="E107" s="5"/>
      <c r="F107" s="5"/>
      <c r="G107" s="5"/>
      <c r="H107" s="5"/>
      <c r="I107" s="5"/>
    </row>
    <row r="108" spans="2:9">
      <c r="B108" s="8"/>
      <c r="C108" s="5"/>
      <c r="D108" s="7"/>
      <c r="E108" s="5"/>
      <c r="F108" s="5"/>
      <c r="G108" s="5"/>
      <c r="H108" s="5"/>
      <c r="I108" s="5"/>
    </row>
    <row r="109" spans="2:9">
      <c r="B109" s="8"/>
      <c r="C109" s="5"/>
      <c r="D109" s="7"/>
      <c r="E109" s="5"/>
      <c r="F109" s="5"/>
      <c r="G109" s="5"/>
      <c r="H109" s="5"/>
      <c r="I109" s="5"/>
    </row>
    <row r="110" spans="2:9">
      <c r="B110" s="8"/>
      <c r="C110" s="5"/>
      <c r="D110" s="7"/>
      <c r="E110" s="5"/>
      <c r="F110" s="5"/>
      <c r="G110" s="5"/>
      <c r="H110" s="5"/>
      <c r="I110" s="5"/>
    </row>
    <row r="111" spans="2:9">
      <c r="B111" s="8"/>
      <c r="C111" s="5"/>
      <c r="D111" s="7"/>
      <c r="E111" s="5"/>
      <c r="F111" s="5"/>
      <c r="G111" s="5"/>
      <c r="H111" s="5"/>
      <c r="I111" s="5"/>
    </row>
    <row r="112" spans="2:9">
      <c r="B112" s="8"/>
      <c r="C112" s="5"/>
      <c r="D112" s="7"/>
      <c r="E112" s="5"/>
      <c r="F112" s="5"/>
      <c r="G112" s="5"/>
      <c r="H112" s="5"/>
      <c r="I112" s="5"/>
    </row>
    <row r="113" spans="2:9">
      <c r="B113" s="8"/>
      <c r="C113" s="5"/>
      <c r="D113" s="7"/>
      <c r="E113" s="5"/>
      <c r="F113" s="5"/>
      <c r="G113" s="5"/>
      <c r="H113" s="5"/>
      <c r="I113" s="5"/>
    </row>
    <row r="114" spans="2:9">
      <c r="B114" s="8"/>
      <c r="C114" s="5"/>
      <c r="D114" s="7"/>
      <c r="E114" s="5"/>
      <c r="F114" s="5"/>
      <c r="G114" s="5"/>
      <c r="H114" s="5"/>
      <c r="I114" s="5"/>
    </row>
    <row r="115" spans="2:9">
      <c r="B115" s="8"/>
      <c r="C115" s="5"/>
      <c r="D115" s="7"/>
      <c r="E115" s="5"/>
      <c r="F115" s="5"/>
      <c r="G115" s="5"/>
      <c r="H115" s="5"/>
      <c r="I115" s="5"/>
    </row>
    <row r="116" spans="2:9">
      <c r="B116" s="8"/>
      <c r="C116" s="5"/>
      <c r="D116" s="7"/>
      <c r="E116" s="5"/>
      <c r="F116" s="5"/>
      <c r="G116" s="5"/>
      <c r="H116" s="5"/>
      <c r="I116" s="5"/>
    </row>
    <row r="117" spans="2:9">
      <c r="B117" s="8"/>
      <c r="C117" s="5"/>
      <c r="D117" s="7"/>
      <c r="E117" s="5"/>
      <c r="F117" s="5"/>
      <c r="G117" s="5"/>
      <c r="H117" s="5"/>
      <c r="I117" s="5"/>
    </row>
    <row r="118" spans="2:9">
      <c r="B118" s="8"/>
      <c r="C118" s="5"/>
      <c r="D118" s="7"/>
      <c r="E118" s="5"/>
      <c r="F118" s="5"/>
      <c r="G118" s="5"/>
      <c r="H118" s="5"/>
      <c r="I118" s="5"/>
    </row>
    <row r="119" spans="2:9">
      <c r="B119" s="8"/>
      <c r="C119" s="5"/>
      <c r="D119" s="7"/>
      <c r="E119" s="5"/>
      <c r="F119" s="5"/>
      <c r="G119" s="5"/>
      <c r="H119" s="5"/>
      <c r="I119" s="5"/>
    </row>
    <row r="120" spans="2:9">
      <c r="B120" s="8"/>
      <c r="C120" s="5"/>
      <c r="D120" s="7"/>
      <c r="E120" s="5"/>
      <c r="F120" s="5"/>
      <c r="G120" s="5"/>
      <c r="H120" s="5"/>
      <c r="I120" s="5"/>
    </row>
    <row r="121" spans="2:9">
      <c r="B121" s="8"/>
      <c r="C121" s="5"/>
      <c r="D121" s="7"/>
      <c r="E121" s="5"/>
      <c r="F121" s="5"/>
      <c r="G121" s="5"/>
      <c r="H121" s="5"/>
      <c r="I121" s="5"/>
    </row>
    <row r="122" spans="2:9">
      <c r="B122" s="8"/>
      <c r="C122" s="5"/>
      <c r="D122" s="7"/>
      <c r="E122" s="5"/>
      <c r="F122" s="5"/>
      <c r="G122" s="5"/>
      <c r="H122" s="5"/>
      <c r="I122" s="5"/>
    </row>
    <row r="123" spans="2:9">
      <c r="B123" s="8"/>
      <c r="C123" s="5"/>
      <c r="D123" s="7"/>
      <c r="E123" s="5"/>
      <c r="F123" s="5"/>
      <c r="G123" s="5"/>
      <c r="H123" s="5"/>
      <c r="I123" s="5"/>
    </row>
    <row r="124" spans="2:9">
      <c r="B124" s="8"/>
      <c r="C124" s="5"/>
      <c r="D124" s="7"/>
      <c r="E124" s="5"/>
      <c r="F124" s="5"/>
      <c r="G124" s="5"/>
      <c r="H124" s="5"/>
      <c r="I124" s="5"/>
    </row>
    <row r="125" spans="2:9">
      <c r="B125" s="8"/>
      <c r="C125" s="5"/>
      <c r="D125" s="7"/>
      <c r="E125" s="5"/>
      <c r="F125" s="5"/>
      <c r="G125" s="5"/>
      <c r="H125" s="5"/>
      <c r="I125" s="5"/>
    </row>
    <row r="126" spans="2:9">
      <c r="B126" s="8"/>
      <c r="C126" s="5"/>
      <c r="D126" s="7"/>
      <c r="E126" s="5"/>
      <c r="F126" s="5"/>
      <c r="G126" s="5"/>
      <c r="H126" s="5"/>
      <c r="I126" s="5"/>
    </row>
    <row r="127" spans="2:9">
      <c r="B127" s="8"/>
      <c r="C127" s="5"/>
      <c r="D127" s="7"/>
      <c r="E127" s="5"/>
      <c r="F127" s="5"/>
      <c r="G127" s="5"/>
      <c r="H127" s="5"/>
      <c r="I127" s="5"/>
    </row>
    <row r="128" spans="2:9">
      <c r="B128" s="8"/>
      <c r="C128" s="5"/>
      <c r="D128" s="7"/>
      <c r="E128" s="5"/>
      <c r="F128" s="5"/>
      <c r="G128" s="5"/>
      <c r="H128" s="5"/>
      <c r="I128" s="5"/>
    </row>
    <row r="129" spans="2:9">
      <c r="B129" s="8"/>
      <c r="C129" s="5"/>
      <c r="D129" s="7"/>
      <c r="E129" s="5"/>
      <c r="F129" s="5"/>
      <c r="G129" s="5"/>
      <c r="H129" s="5"/>
      <c r="I129" s="5"/>
    </row>
    <row r="130" spans="2:9">
      <c r="B130" s="8"/>
      <c r="C130" s="5"/>
      <c r="D130" s="7"/>
      <c r="E130" s="5"/>
      <c r="F130" s="5"/>
      <c r="G130" s="5"/>
      <c r="H130" s="5"/>
      <c r="I130" s="5"/>
    </row>
    <row r="131" spans="2:9">
      <c r="B131" s="8"/>
      <c r="C131" s="5"/>
      <c r="D131" s="7"/>
      <c r="E131" s="5"/>
      <c r="F131" s="5"/>
      <c r="G131" s="5"/>
      <c r="H131" s="5"/>
      <c r="I131" s="5"/>
    </row>
    <row r="132" spans="2:9">
      <c r="B132" s="8"/>
      <c r="C132" s="5"/>
      <c r="D132" s="7"/>
      <c r="E132" s="5"/>
      <c r="F132" s="5"/>
      <c r="G132" s="5"/>
      <c r="H132" s="5"/>
      <c r="I132" s="5"/>
    </row>
    <row r="133" spans="2:9">
      <c r="B133" s="8"/>
      <c r="C133" s="5"/>
      <c r="D133" s="7"/>
      <c r="E133" s="5"/>
      <c r="F133" s="5"/>
      <c r="G133" s="5"/>
      <c r="H133" s="5"/>
      <c r="I133" s="5"/>
    </row>
    <row r="134" spans="2:9">
      <c r="B134" s="8"/>
      <c r="C134" s="5"/>
      <c r="D134" s="7"/>
      <c r="E134" s="5"/>
      <c r="F134" s="5"/>
      <c r="G134" s="5"/>
      <c r="H134" s="5"/>
      <c r="I134" s="5"/>
    </row>
    <row r="135" spans="2:9">
      <c r="B135" s="8"/>
      <c r="C135" s="5"/>
      <c r="D135" s="7"/>
      <c r="E135" s="5"/>
      <c r="F135" s="5"/>
      <c r="G135" s="5"/>
      <c r="H135" s="5"/>
      <c r="I135" s="5"/>
    </row>
    <row r="136" spans="2:9">
      <c r="B136" s="8"/>
      <c r="C136" s="5"/>
      <c r="D136" s="7"/>
      <c r="E136" s="5"/>
      <c r="F136" s="5"/>
      <c r="G136" s="5"/>
      <c r="H136" s="5"/>
      <c r="I136" s="5"/>
    </row>
    <row r="137" spans="2:9">
      <c r="B137" s="8"/>
      <c r="C137" s="5"/>
      <c r="D137" s="7"/>
      <c r="E137" s="5"/>
      <c r="F137" s="5"/>
      <c r="G137" s="5"/>
      <c r="H137" s="5"/>
      <c r="I137" s="5"/>
    </row>
    <row r="138" spans="2:9">
      <c r="B138" s="8"/>
      <c r="C138" s="5"/>
      <c r="D138" s="7"/>
      <c r="E138" s="5"/>
      <c r="F138" s="5"/>
      <c r="G138" s="5"/>
      <c r="H138" s="5"/>
      <c r="I138" s="5"/>
    </row>
    <row r="139" spans="2:9">
      <c r="B139" s="8"/>
      <c r="C139" s="5"/>
      <c r="D139" s="7"/>
      <c r="E139" s="5"/>
      <c r="F139" s="5"/>
      <c r="G139" s="5"/>
      <c r="H139" s="5"/>
      <c r="I139" s="5"/>
    </row>
    <row r="140" spans="2:9">
      <c r="B140" s="8"/>
      <c r="C140" s="5"/>
      <c r="D140" s="7"/>
      <c r="E140" s="5"/>
      <c r="F140" s="5"/>
      <c r="G140" s="5"/>
      <c r="H140" s="5"/>
      <c r="I140" s="5"/>
    </row>
    <row r="141" spans="2:9">
      <c r="B141" s="8"/>
      <c r="C141" s="5"/>
      <c r="D141" s="7"/>
      <c r="E141" s="5"/>
      <c r="F141" s="5"/>
      <c r="G141" s="5"/>
      <c r="H141" s="5"/>
      <c r="I141" s="5"/>
    </row>
    <row r="142" spans="2:9">
      <c r="B142" s="8"/>
      <c r="C142" s="5"/>
      <c r="D142" s="7"/>
      <c r="E142" s="5"/>
      <c r="F142" s="5"/>
      <c r="G142" s="5"/>
      <c r="H142" s="5"/>
      <c r="I142" s="5"/>
    </row>
    <row r="143" spans="2:9">
      <c r="B143" s="8"/>
      <c r="C143" s="5"/>
      <c r="D143" s="7"/>
      <c r="E143" s="5"/>
      <c r="F143" s="5"/>
      <c r="G143" s="5"/>
      <c r="H143" s="5"/>
      <c r="I143" s="5"/>
    </row>
    <row r="144" spans="2:9">
      <c r="B144" s="8"/>
      <c r="C144" s="5"/>
      <c r="D144" s="7"/>
      <c r="E144" s="5"/>
      <c r="F144" s="5"/>
      <c r="G144" s="5"/>
      <c r="H144" s="5"/>
      <c r="I144" s="5"/>
    </row>
    <row r="145" spans="2:9">
      <c r="B145" s="8"/>
      <c r="C145" s="5"/>
      <c r="D145" s="7"/>
      <c r="E145" s="5"/>
      <c r="F145" s="5"/>
      <c r="G145" s="5"/>
      <c r="H145" s="5"/>
      <c r="I145" s="5"/>
    </row>
    <row r="146" spans="2:9">
      <c r="B146" s="8"/>
      <c r="C146" s="5"/>
      <c r="D146" s="7"/>
      <c r="E146" s="5"/>
      <c r="F146" s="5"/>
      <c r="G146" s="5"/>
      <c r="H146" s="5"/>
      <c r="I146" s="5"/>
    </row>
    <row r="147" spans="2:9">
      <c r="B147" s="8"/>
      <c r="C147" s="5"/>
      <c r="D147" s="7"/>
      <c r="E147" s="5"/>
      <c r="F147" s="5"/>
      <c r="G147" s="5"/>
      <c r="H147" s="5"/>
      <c r="I147" s="5"/>
    </row>
    <row r="148" spans="2:9">
      <c r="B148" s="8"/>
      <c r="C148" s="5"/>
      <c r="D148" s="7"/>
      <c r="E148" s="5"/>
      <c r="F148" s="5"/>
      <c r="G148" s="5"/>
      <c r="H148" s="5"/>
      <c r="I148" s="5"/>
    </row>
    <row r="149" spans="2:9">
      <c r="B149" s="8"/>
      <c r="C149" s="5"/>
      <c r="D149" s="7"/>
      <c r="E149" s="5"/>
      <c r="F149" s="5"/>
      <c r="G149" s="5"/>
      <c r="H149" s="5"/>
      <c r="I149" s="5"/>
    </row>
    <row r="150" spans="2:9">
      <c r="B150" s="8"/>
      <c r="C150" s="5"/>
      <c r="D150" s="7"/>
      <c r="E150" s="5"/>
      <c r="F150" s="5"/>
      <c r="G150" s="5"/>
      <c r="H150" s="5"/>
      <c r="I150" s="5"/>
    </row>
    <row r="151" spans="2:9">
      <c r="B151" s="8"/>
      <c r="C151" s="5"/>
      <c r="D151" s="7"/>
      <c r="E151" s="5"/>
      <c r="F151" s="5"/>
      <c r="G151" s="5"/>
      <c r="H151" s="5"/>
      <c r="I151" s="5"/>
    </row>
    <row r="152" spans="2:9">
      <c r="B152" s="8"/>
      <c r="C152" s="5"/>
      <c r="D152" s="7"/>
      <c r="E152" s="5"/>
      <c r="F152" s="5"/>
      <c r="G152" s="5"/>
      <c r="H152" s="5"/>
      <c r="I152" s="5"/>
    </row>
    <row r="153" spans="2:9">
      <c r="B153" s="8"/>
      <c r="C153" s="5"/>
      <c r="D153" s="7"/>
      <c r="E153" s="5"/>
      <c r="F153" s="5"/>
      <c r="G153" s="5"/>
      <c r="H153" s="5"/>
      <c r="I153" s="5"/>
    </row>
    <row r="154" spans="2:9">
      <c r="B154" s="8"/>
      <c r="C154" s="5"/>
      <c r="D154" s="7"/>
      <c r="E154" s="5"/>
      <c r="F154" s="5"/>
      <c r="G154" s="5"/>
      <c r="H154" s="5"/>
      <c r="I154" s="5"/>
    </row>
    <row r="155" spans="2:9">
      <c r="B155" s="8"/>
      <c r="C155" s="5"/>
      <c r="D155" s="7"/>
      <c r="E155" s="5"/>
      <c r="F155" s="5"/>
      <c r="G155" s="5"/>
      <c r="H155" s="5"/>
      <c r="I155" s="5"/>
    </row>
    <row r="156" spans="2:9">
      <c r="B156" s="8"/>
      <c r="C156" s="5"/>
      <c r="D156" s="7"/>
      <c r="E156" s="5"/>
      <c r="F156" s="5"/>
      <c r="G156" s="5"/>
      <c r="H156" s="5"/>
      <c r="I156" s="5"/>
    </row>
    <row r="157" spans="2:9">
      <c r="B157" s="8"/>
      <c r="C157" s="5"/>
      <c r="D157" s="7"/>
      <c r="E157" s="5"/>
      <c r="F157" s="5"/>
      <c r="G157" s="5"/>
      <c r="H157" s="5"/>
      <c r="I157" s="5"/>
    </row>
    <row r="158" spans="2:9">
      <c r="B158" s="8"/>
      <c r="C158" s="5"/>
      <c r="D158" s="7"/>
      <c r="E158" s="5"/>
      <c r="F158" s="5"/>
      <c r="G158" s="5"/>
      <c r="H158" s="5"/>
      <c r="I158" s="5"/>
    </row>
    <row r="159" spans="2:9">
      <c r="B159" s="8"/>
      <c r="C159" s="5"/>
      <c r="D159" s="7"/>
      <c r="E159" s="5"/>
      <c r="F159" s="5"/>
      <c r="G159" s="5"/>
      <c r="H159" s="5"/>
      <c r="I159" s="5"/>
    </row>
    <row r="160" spans="2:9">
      <c r="B160" s="8"/>
      <c r="C160" s="5"/>
      <c r="D160" s="7"/>
      <c r="E160" s="5"/>
      <c r="F160" s="5"/>
      <c r="G160" s="5"/>
      <c r="H160" s="5"/>
      <c r="I160" s="5"/>
    </row>
    <row r="161" spans="2:9">
      <c r="B161" s="8"/>
      <c r="C161" s="5"/>
      <c r="D161" s="7"/>
      <c r="E161" s="5"/>
      <c r="F161" s="5"/>
      <c r="G161" s="5"/>
      <c r="H161" s="5"/>
      <c r="I161" s="5"/>
    </row>
    <row r="162" spans="2:9">
      <c r="B162" s="8"/>
      <c r="C162" s="5"/>
      <c r="D162" s="7"/>
      <c r="E162" s="5"/>
      <c r="F162" s="5"/>
      <c r="G162" s="5"/>
      <c r="H162" s="5"/>
      <c r="I162" s="5"/>
    </row>
    <row r="163" spans="2:9">
      <c r="B163" s="8"/>
      <c r="C163" s="5"/>
      <c r="D163" s="7"/>
      <c r="E163" s="5"/>
      <c r="F163" s="5"/>
      <c r="G163" s="5"/>
      <c r="H163" s="5"/>
      <c r="I163" s="5"/>
    </row>
    <row r="164" spans="2:9">
      <c r="B164" s="8"/>
      <c r="C164" s="5"/>
      <c r="D164" s="7"/>
      <c r="E164" s="5"/>
      <c r="F164" s="5"/>
      <c r="G164" s="5"/>
      <c r="H164" s="5"/>
      <c r="I164" s="5"/>
    </row>
    <row r="165" spans="2:9">
      <c r="B165" s="8"/>
      <c r="C165" s="5"/>
      <c r="D165" s="7"/>
      <c r="E165" s="5"/>
      <c r="F165" s="5"/>
      <c r="G165" s="5"/>
      <c r="H165" s="5"/>
      <c r="I165" s="5"/>
    </row>
    <row r="166" spans="2:9">
      <c r="B166" s="8"/>
      <c r="C166" s="5"/>
      <c r="D166" s="7"/>
      <c r="E166" s="5"/>
      <c r="F166" s="5"/>
      <c r="G166" s="5"/>
      <c r="H166" s="5"/>
      <c r="I166" s="5"/>
    </row>
    <row r="167" spans="2:9">
      <c r="B167" s="8"/>
      <c r="C167" s="5"/>
      <c r="D167" s="7"/>
      <c r="E167" s="5"/>
      <c r="F167" s="5"/>
      <c r="G167" s="5"/>
      <c r="H167" s="5"/>
      <c r="I167" s="5"/>
    </row>
    <row r="168" spans="2:9">
      <c r="B168" s="8"/>
      <c r="C168" s="5"/>
      <c r="D168" s="7"/>
      <c r="E168" s="5"/>
      <c r="F168" s="5"/>
      <c r="G168" s="5"/>
      <c r="H168" s="5"/>
      <c r="I168" s="5"/>
    </row>
    <row r="169" spans="2:9">
      <c r="B169" s="8"/>
      <c r="C169" s="5"/>
      <c r="D169" s="7"/>
      <c r="E169" s="5"/>
      <c r="F169" s="5"/>
      <c r="G169" s="5"/>
      <c r="H169" s="5"/>
      <c r="I169" s="5"/>
    </row>
    <row r="170" spans="2:9">
      <c r="B170" s="8"/>
      <c r="C170" s="5"/>
      <c r="D170" s="7"/>
      <c r="E170" s="5"/>
      <c r="F170" s="5"/>
      <c r="G170" s="5"/>
      <c r="H170" s="5"/>
      <c r="I170" s="5"/>
    </row>
    <row r="171" spans="2:9">
      <c r="B171" s="8"/>
      <c r="C171" s="5"/>
      <c r="D171" s="7"/>
      <c r="E171" s="5"/>
      <c r="F171" s="5"/>
      <c r="G171" s="5"/>
      <c r="H171" s="5"/>
      <c r="I171" s="5"/>
    </row>
    <row r="172" spans="2:9">
      <c r="B172" s="8"/>
      <c r="C172" s="5"/>
      <c r="D172" s="7"/>
      <c r="E172" s="5"/>
      <c r="F172" s="5"/>
      <c r="G172" s="5"/>
      <c r="H172" s="5"/>
      <c r="I172" s="5"/>
    </row>
    <row r="173" spans="2:9">
      <c r="B173" s="8"/>
      <c r="C173" s="5"/>
      <c r="D173" s="7"/>
      <c r="E173" s="5"/>
      <c r="F173" s="5"/>
      <c r="G173" s="5"/>
      <c r="H173" s="5"/>
      <c r="I173" s="5"/>
    </row>
    <row r="174" spans="2:9">
      <c r="B174" s="8"/>
      <c r="C174" s="5"/>
      <c r="D174" s="7"/>
      <c r="E174" s="5"/>
      <c r="F174" s="5"/>
      <c r="G174" s="5"/>
      <c r="H174" s="5"/>
      <c r="I174" s="5"/>
    </row>
    <row r="175" spans="2:9">
      <c r="B175" s="8"/>
      <c r="C175" s="5"/>
      <c r="D175" s="7"/>
      <c r="E175" s="5"/>
      <c r="F175" s="5"/>
      <c r="G175" s="5"/>
      <c r="H175" s="5"/>
      <c r="I175" s="5"/>
    </row>
    <row r="176" spans="2:9">
      <c r="B176" s="8"/>
      <c r="C176" s="5"/>
      <c r="D176" s="7"/>
      <c r="E176" s="5"/>
      <c r="F176" s="5"/>
      <c r="G176" s="5"/>
      <c r="H176" s="5"/>
      <c r="I176" s="5"/>
    </row>
    <row r="177" spans="2:9">
      <c r="B177" s="8"/>
      <c r="C177" s="5"/>
      <c r="D177" s="7"/>
      <c r="E177" s="5"/>
      <c r="F177" s="5"/>
      <c r="G177" s="5"/>
      <c r="H177" s="5"/>
      <c r="I177" s="5"/>
    </row>
    <row r="178" spans="2:9">
      <c r="B178" s="8"/>
      <c r="C178" s="5"/>
      <c r="D178" s="7"/>
      <c r="E178" s="5"/>
      <c r="F178" s="5"/>
      <c r="G178" s="5"/>
      <c r="H178" s="5"/>
      <c r="I178" s="5"/>
    </row>
    <row r="179" spans="2:9">
      <c r="B179" s="8"/>
      <c r="C179" s="5"/>
      <c r="D179" s="7"/>
      <c r="E179" s="5"/>
      <c r="F179" s="5"/>
      <c r="G179" s="5"/>
      <c r="H179" s="5"/>
      <c r="I179" s="5"/>
    </row>
    <row r="180" spans="2:9">
      <c r="B180" s="8"/>
      <c r="C180" s="5"/>
      <c r="D180" s="7"/>
      <c r="E180" s="5"/>
      <c r="F180" s="5"/>
      <c r="G180" s="5"/>
      <c r="H180" s="5"/>
      <c r="I180" s="5"/>
    </row>
    <row r="181" spans="2:9">
      <c r="B181" s="8"/>
      <c r="C181" s="5"/>
      <c r="D181" s="7"/>
      <c r="E181" s="5"/>
      <c r="F181" s="5"/>
      <c r="G181" s="5"/>
      <c r="H181" s="5"/>
      <c r="I181" s="5"/>
    </row>
    <row r="182" spans="2:9">
      <c r="B182" s="8"/>
      <c r="C182" s="5"/>
      <c r="D182" s="7"/>
      <c r="E182" s="5"/>
      <c r="F182" s="5"/>
      <c r="G182" s="5"/>
      <c r="H182" s="5"/>
      <c r="I182" s="5"/>
    </row>
    <row r="183" spans="2:9">
      <c r="B183" s="8"/>
      <c r="C183" s="5"/>
      <c r="D183" s="7"/>
      <c r="E183" s="5"/>
      <c r="F183" s="5"/>
      <c r="G183" s="5"/>
      <c r="H183" s="5"/>
      <c r="I183" s="5"/>
    </row>
    <row r="184" spans="2:9">
      <c r="B184" s="8"/>
      <c r="C184" s="5"/>
      <c r="D184" s="7"/>
      <c r="E184" s="5"/>
      <c r="F184" s="5"/>
      <c r="G184" s="5"/>
      <c r="H184" s="5"/>
      <c r="I184" s="5"/>
    </row>
    <row r="185" spans="2:9">
      <c r="B185" s="8"/>
      <c r="C185" s="5"/>
      <c r="D185" s="7"/>
      <c r="E185" s="5"/>
      <c r="F185" s="5"/>
      <c r="G185" s="5"/>
      <c r="H185" s="5"/>
      <c r="I185" s="5"/>
    </row>
  </sheetData>
  <autoFilter ref="B2:I185" xr:uid="{00000000-0001-0000-0000-000000000000}">
    <sortState xmlns:xlrd2="http://schemas.microsoft.com/office/spreadsheetml/2017/richdata2" ref="B3:I185">
      <sortCondition ref="B2:B185"/>
    </sortState>
  </autoFilter>
  <mergeCells count="1">
    <mergeCell ref="B1:H1"/>
  </mergeCells>
  <phoneticPr fontId="5" type="noConversion"/>
  <conditionalFormatting sqref="B3:H44 B45:D47 E46:H46 F47:H47">
    <cfRule type="expression" dxfId="5" priority="12">
      <formula>MOD(ROW(),2)=0</formula>
    </cfRule>
  </conditionalFormatting>
  <conditionalFormatting sqref="B48:H185">
    <cfRule type="expression" dxfId="0" priority="1">
      <formula>MOD(ROW(),2)=0</formula>
    </cfRule>
  </conditionalFormatting>
  <conditionalFormatting sqref="I48">
    <cfRule type="expression" dxfId="4" priority="10">
      <formula>MOD(ROW(),2)=0</formula>
    </cfRule>
  </conditionalFormatting>
  <conditionalFormatting sqref="I50">
    <cfRule type="expression" dxfId="3" priority="11">
      <formula>MOD(ROW(),2)=0</formula>
    </cfRule>
  </conditionalFormatting>
  <conditionalFormatting sqref="I52 I56 I60 I64 I69 I73 I77 I81 I86 I90 I95 I99 I103 I107 I112 I116 I120 I124 I127 I131 I135 I139 I144 I148 I152 I156 I161 I165 I167 I171 I175 I179 I184">
    <cfRule type="expression" dxfId="2" priority="7">
      <formula>MOD(ROW(),2)=0</formula>
    </cfRule>
  </conditionalFormatting>
  <conditionalFormatting sqref="I54 I58 I62 I66 I71 I75 I79 I83 I88 I92 I97 I101 I105 I109 I114 I118 I122 I129 I133 I137 I141 I146 I150 I154 I158 I163 I169 I173 I177 I181">
    <cfRule type="expression" dxfId="1" priority="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2026-10-16T09:51:12Z</dcterms:modified>
</cp:coreProperties>
</file>