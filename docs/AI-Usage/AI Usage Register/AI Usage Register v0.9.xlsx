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4c906530d9ff38bc/Desktop/SEN381/Ticketing-System/docs/AI-Usage/AI Usage Register/"/>
    </mc:Choice>
  </mc:AlternateContent>
  <xr:revisionPtr revIDLastSave="91" documentId="13_ncr:1_{C71336F1-9349-419C-A79E-12F5637598A7}" xr6:coauthVersionLast="47" xr6:coauthVersionMax="47" xr10:uidLastSave="{825FA6AB-430E-4372-BF00-589ED40A6685}"/>
  <bookViews>
    <workbookView xWindow="-108" yWindow="-108" windowWidth="30936" windowHeight="17496" xr2:uid="{00000000-000D-0000-FFFF-FFFF00000000}"/>
  </bookViews>
  <sheets>
    <sheet name="AI Usage Register"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6" i="1" l="1"/>
  <c r="B15" i="1"/>
  <c r="B14" i="1"/>
  <c r="B13" i="1"/>
  <c r="B12" i="1"/>
  <c r="B11" i="1"/>
  <c r="B10" i="1"/>
  <c r="B9" i="1"/>
  <c r="B8" i="1"/>
  <c r="B7" i="1"/>
  <c r="B6" i="1"/>
  <c r="B5" i="1"/>
  <c r="B4" i="1"/>
  <c r="B3" i="1"/>
</calcChain>
</file>

<file path=xl/sharedStrings.xml><?xml version="1.0" encoding="utf-8"?>
<sst xmlns="http://schemas.openxmlformats.org/spreadsheetml/2006/main" count="352" uniqueCount="240">
  <si>
    <t>AI Usage Register</t>
  </si>
  <si>
    <t>Date</t>
  </si>
  <si>
    <t>Student</t>
  </si>
  <si>
    <t>Tool</t>
  </si>
  <si>
    <t>Engineering Task</t>
  </si>
  <si>
    <t>AI Contribution</t>
  </si>
  <si>
    <t>Verification</t>
  </si>
  <si>
    <t>Decision</t>
  </si>
  <si>
    <t>Issues found</t>
  </si>
  <si>
    <t>Ethan Lindsay</t>
  </si>
  <si>
    <t>Claude</t>
  </si>
  <si>
    <t>Stakeholder identification for campus context</t>
  </si>
  <si>
    <t>Proposed possible stakeholder roles assosiated with a system like this</t>
  </si>
  <si>
    <t>Compared each againts the Master Brief s.2 and s.3 capability groups and verified that the proposed rolls are valid positions.</t>
  </si>
  <si>
    <t xml:space="preserve">Accepted with changes to some of the suggested roles. </t>
  </si>
  <si>
    <t>Stakeholder conflict analysis</t>
  </si>
  <si>
    <t>Drafted 4 conflicts with proposed resolutions</t>
  </si>
  <si>
    <t>Team reviewed and agreed resolutions on 07/09/2026</t>
  </si>
  <si>
    <t>Accepted with corrections and additions to conflicts given verbally.</t>
  </si>
  <si>
    <t>Scope baseline classification</t>
  </si>
  <si>
    <t>Drafted 20 scope items across in/out/deferred with justifications</t>
  </si>
  <si>
    <t>Checked every IN SCOPE item traces to a Master Brief s.3 capability</t>
  </si>
  <si>
    <t>Accepted and ensured that all given items were actually in scope and viable.</t>
  </si>
  <si>
    <t>Constraints analysis</t>
  </si>
  <si>
    <t>Drafted 8 constraints with engineering implications</t>
  </si>
  <si>
    <t>Verified each against Master Brief s.4, s.18, s.25; independently confirmed POPIA applicability and cited the Act</t>
  </si>
  <si>
    <t>Accepted, Verified time , cost and resource constraints fit the the system we are planning to develop.</t>
  </si>
  <si>
    <t>Problem &amp; business need section</t>
  </si>
  <si>
    <t>Drafted PED section 2</t>
  </si>
  <si>
    <t>Verified that the content made logical sense with reguards to the project brief and ensured that the all expectations have been met for this document.</t>
  </si>
  <si>
    <t>Accepted with deep analysis.</t>
  </si>
  <si>
    <t>Redesign Spread sheets</t>
  </si>
  <si>
    <t xml:space="preserve">Reorganized and beautified the spreadsheets to ensure consistency. </t>
  </si>
  <si>
    <t>Verified that no data was changed and that only formatting was applied for structure and simplicity.</t>
  </si>
  <si>
    <t>Accepted with open arms.</t>
  </si>
  <si>
    <t>Additional constraints from client instruction (CON-009–CON-019)</t>
  </si>
  <si>
    <t>Drafted 11 constraints with engineering implications, interactions and trade-off summaries from verbal client instructions</t>
  </si>
  <si>
    <t>Verified that the contraints given verbally aligned with the generated draft and that all constraits were viable</t>
  </si>
  <si>
    <t>Accepted, Reviwed thouroughly and happy with the result.</t>
  </si>
  <si>
    <t>Decision log entries DEC-008, DEC-009 and the DEC-007 revision</t>
  </si>
  <si>
    <t>Drafted the branching-model decision, the verbal-requirement capture process, and the revision recording the change of basis for the mobile exclusion</t>
  </si>
  <si>
    <t>Verified the updated decision given that one of our constraints changed and ensure that newly added decisions were agreed aponby the whole team.</t>
  </si>
  <si>
    <t>Accepted, all decisions make logical sense and align with the projects deliverables.</t>
  </si>
  <si>
    <t>Reference sourcing for the PED</t>
  </si>
  <si>
    <t>Located and formatted six sources; identified that the 44 × 44 touch target in NFR-1.2 is Apple's HIG figure, not the WCAG 2.2 Level AA minimum of 24 × 24 (SC 2.5.8)</t>
  </si>
  <si>
    <t>Checked the WCAG criterion numbers and levels against W3C directly; confirmed ISO/IEC 25010:2023 supersedes the 2011 edition and renames portability to flexibility</t>
  </si>
  <si>
    <t>Accepted; NFR-1.2 basis corrected to cite Apple rather than WCAG, and the Charter's quality mapping updated to the 2023 characteristic names, also verified relevent and accurate resources.</t>
  </si>
  <si>
    <t>PED v1.0 assembly</t>
  </si>
  <si>
    <t>Drafted the full 13-section document structure, narrative for each section, and the appendices, from the team's existing registers</t>
  </si>
  <si>
    <t>Verified that all combined content was relevant and accurate to the artefacts done by all 3 memebers.</t>
  </si>
  <si>
    <t>Accepted, The PED draft was structured perfectly and flowed accurately to display the outputted artifacts we have created.</t>
  </si>
  <si>
    <t>Team Working Agreement</t>
  </si>
  <si>
    <t>Drafted the agreement, tying §5 review turnaround to RSK-013 and §6 definition of done to RSK-012</t>
  </si>
  <si>
    <t xml:space="preserve">Verified that the terms were relevant and reasonable. </t>
  </si>
  <si>
    <t>Accepted, The draft demonstrated a structured approach to working as a team and overall read well.</t>
  </si>
  <si>
    <t>Baseline conditions C-01 to C-04</t>
  </si>
  <si>
    <t>Drafted four conditions with owners, closure criteria and affected artefacts</t>
  </si>
  <si>
    <t>Verified that the conditions made sense given the timeline and artefacts we produced.</t>
  </si>
  <si>
    <t>Accepted, The 4 drafted conditional acceptances align exactly with the outputs we have created.</t>
  </si>
  <si>
    <t>Repository audit prompt</t>
  </si>
  <si>
    <t>Drafted a read-only audit prompt for Claude Code to check the repository against the governing briefs</t>
  </si>
  <si>
    <t>Ran the audit; verified each finding against the actual files before acting on it — including one finding raised against the PED's own claim about the baseline tag</t>
  </si>
  <si>
    <t>Accepted; findings actioned individually rather than wholesale</t>
  </si>
  <si>
    <t>Project Charter v0.2 ? v0.3 corrections</t>
  </si>
  <si>
    <t>Identified the ISO edition mismatch, the broken D1 deliverable date, missing reference list and blank team names; drafted the §7.1 register reconciliation</t>
  </si>
  <si>
    <t>Verified , This was and oversight by myself and glad that claude was able to pick up the mistake and assist me in correcting it.</t>
  </si>
  <si>
    <t>Accepted, Thank you claude :)</t>
  </si>
  <si>
    <t>07 Sept 2026</t>
  </si>
  <si>
    <t>Christiaan Burger</t>
  </si>
  <si>
    <t>Risk Register construction and scoring method</t>
  </si>
  <si>
    <t>Drafted 13 candidate project-specific risks derived from the Master Brief s.2 failures and the team's scope, constraint and decision artefacts, each with cause, early-warning indicator, preventive mitigation and contingency. Drafted the probability and impact scale definitions and the 1–2 / 3–4 / 6–9 priority bands.</t>
  </si>
  <si>
    <t>Verified that the scoring method aligned with taught methods during PMM381 and ensured that all drafted risk were real and accurate risks.</t>
  </si>
  <si>
    <t>Accepted and changed , The risks were aligned with real project risks but the method used for calculations was off , corrected it with knowledge gained from PMM 381</t>
  </si>
  <si>
    <t>Forward Engineering Considerations register</t>
  </si>
  <si>
    <t>Drafted 7 forward concerns (security and personal information, migration and cut-over, testability, technology availability, deployment platform, observability, operational cost), each recording why it matters now, the later decision influenced, information still missing and the risk of ignoring it. Drafted the influence mapping showing what each changed in the M1 baseline.</t>
  </si>
  <si>
    <t>Verified that the 7 drafted concers made logical sense and verified that these concerns could become greater risks down the line.</t>
  </si>
  <si>
    <t>Accepted, The drafted concerns highlighted real concrens that we need to be aware of.</t>
  </si>
  <si>
    <t>08 Sept 2026</t>
  </si>
  <si>
    <t>Repository placement and register file structure</t>
  </si>
  <si>
    <t>Argued placement of the risk and FEC registers against the Appendix C folder semantics, and recommended keeping them as two separate workbooks rather than one, on the ground that .xlsx is a binary blob git cannot merge, so a shared workbook risks losing a member's edits outright. Flagged inconsistent folder casing and the absence of a home for the AI Usage Register.</t>
  </si>
  <si>
    <t>Checked the recommendation against the team's committed folder structure; adopted the two-file split and placed both registers in docs/risk/.</t>
  </si>
  <si>
    <t>Accepted. Two-file split adopted.</t>
  </si>
  <si>
    <t>Branch integration procedure for Member B's work</t>
  </si>
  <si>
    <t>Drafted the git command sequence to merge a teammate's branch, including a pre-merge backup branch, --no-ff to force an attributable merge commit, and the binary-conflict resolution path for .xlsx files. Restated the same procedure for GitHub Desktop on request. Advised that the onward merge to dev must be a reviewed pull request, not a direct push.</t>
  </si>
  <si>
    <t>Requested the GitHub Desktop form after judging the command-line version unsuitable for the team's workflow. Merge not yet executed at time of logging.</t>
  </si>
  <si>
    <t>Accepted as procedure; execution pending.</t>
  </si>
  <si>
    <t>09 Sept 2026</t>
  </si>
  <si>
    <t>Cross-artefact reconciliation of the registers against the A and B baseline</t>
  </si>
  <si>
    <t>Read all ten of Member A's and Member B's artefacts and checked every cross-reference in the risk and FEC registers against them. Identified that RSK-004's duplicate-detection mitigation has no corresponding requirement among the 47 FRs; that the mitigations behind RSK-009, RSK-010 and RSK-011 had since been delivered by Member B and were still written as future actions; that the SCP-, CFL- and OI- prefixes in use are absent from the PED s.1.5 identifier scheme while DEF- and ASM- are declared but unused; and that three FRs and one NFR remain un-baselined.</t>
  </si>
  <si>
    <t>Challenged the completeness of the FEC portion of the analysis and required a second pass, which produced four further changes that the first pass had missed.</t>
  </si>
  <si>
    <t>Accepted with corrections after a second pass.</t>
  </si>
  <si>
    <t>Repair of the Risk Register calculation chain</t>
  </si>
  <si>
    <t>Diagnosed the #REF! errors in the Priority and matrix cells as a severed external workbook link to the FEC file, created when the combined workbook was split. Repaired the formulas and removed the external link. The first repair produced a file Excel refused to open — a dangling relationship written by the library used to re-save the workbook; rebuilt by editing the file's XML directly so the original structure was preserved.</t>
  </si>
  <si>
    <t>Opened the first repaired file in Excel, found it reported corrupt content and reported the failure rather than accepting the output. Confirmed the rebuilt file opens and that the resulting distribution matches the register.</t>
  </si>
  <si>
    <t>Rejected on first attempt; accepted after rework.</t>
  </si>
  <si>
    <t>FEC register traceability to the requirements baseline</t>
  </si>
  <si>
    <t>Populated the 'Linked FR / NFR / RSK' column, which cited no FR or NFR at all, with mappings to Member B's requirements; recorded FEC-002 as having no requirement coverage, with the reason, rather than leaving it blank. Named the owner, differentiated the status values, and updated the influence-sheet asks against what A and B had actually delivered.</t>
  </si>
  <si>
    <t xml:space="preserve">Verified and updated the column to show accurate content and ensured that the link was accurate. </t>
  </si>
  <si>
    <t>Accepted. Guidance was appreciated.</t>
  </si>
  <si>
    <t>GitHub governance evidence capture plan</t>
  </si>
  <si>
    <t>Drafted the ordered list of branch-protection and review evidence to capture, the framing requirements for each screenshot, and the storage and naming convention. Advised capturing the blocked-merge state first on the ground that it cannot be reconstructed once a pull request is approved.</t>
  </si>
  <si>
    <t xml:space="preserve">Ensured that the proposed solutions were standard and best practice. </t>
  </si>
  <si>
    <t xml:space="preserve">Accepted, used the drafted order list to strusture the current repo to comply with governance. </t>
  </si>
  <si>
    <t>Audit of Member C deliverables against the milestone brief</t>
  </si>
  <si>
    <t>Checked each Member C requirement in the brief against the current artefacts and reported which were met, which were not, and which could not be verified without repository access.</t>
  </si>
  <si>
    <t xml:space="preserve">Verified that the proposed requirements were actually in the Master brief and ensured that they related to the tasks I was assigned to. </t>
  </si>
  <si>
    <t>Accepted, Used the audit to ensure all needed outputs were created.</t>
  </si>
  <si>
    <t>Conversion of risk scoring to a numeric 1–3 scale</t>
  </si>
  <si>
    <t>Replaced the lookup-based Priority formula with direct multiplication and converted the probability and impact columns to numeric values, at the team's request following peer review. Updated the exposure matrix criteria, which would otherwise have silently returned zero counts rather than erroring. Converted the exposure matrix to a P×I score grid and added a separate grid retaining the risk counts. Stored the calculated results in the file after the first attempt left the cells blank.</t>
  </si>
  <si>
    <t>Specified the change following a team member's review of the register. Identified that the Priority and count cells rendered blank in Excel after the first attempt and required the results to be stored rather than recalculated on open.</t>
  </si>
  <si>
    <t>Accepted after rework.</t>
  </si>
  <si>
    <t>Robert Van Der Merwe</t>
  </si>
  <si>
    <t>Requirements Baseline Generation</t>
  </si>
  <si>
    <t>Derived 49 functional and 30 non-functional requirements from Member A's STK/CFL/SCP/CON/DEC identifiers, with 80 Given/When/Then acceptance criteria and the 9-column RTM. Flagged three gaps where a Master Brief capability had no SCP to trace to.</t>
  </si>
  <si>
    <t>I supplied the SAD slide definitions after Claude declined to guess the format, and confirmed the SCP-017/018/019 renumbering was a deliberate controlled change. The constraint-to-NFR mapping check remains outstanding.</t>
  </si>
  <si>
    <t>Accepted; every requirement traces to a Member A identifier and the append-only numbering preserves stability into M2.</t>
  </si>
  <si>
    <t>Project Charter Math</t>
  </si>
  <si>
    <t>Calculated COCOMO Organic (15 kLOC, 41.22 person-months) and PERT estimates, identified the 5.57-week schedule deficit, and derived the 6.39× productivity multiplier needed to close it. Drafted the 29 September velocity trigger with an automatic CON-009 scope-reduction fallback.</t>
  </si>
  <si>
    <t>I selected Organic mode and supplied the milestone dates that collapsed the window to 5.57 weeks. I have not yet recalculated the path variances or COCOMO multipliers, and the PERT summation error was caught by Claude rather than by me.</t>
  </si>
  <si>
    <t>Accepted with the correction; I retained the productivity re-baseline and Claude attached a measurement trigger instead of a certainty claim.</t>
  </si>
  <si>
    <t>Financial Viability</t>
  </si>
  <si>
    <t>Modelled two investment cases: full commercial cost (NPV -R1 035 555 at 3 years, payback 66.5 months) and incremental institutional cost (NPV +R784 341, payback 2.09 months). Flagged that CON-010's 100 concurrent users conflicts with the 3 000 requests/year benefit assumption.</t>
  </si>
  <si>
    <t>I selected the combined benefit basis of staff time saved plus avoided licence cost. Checking the payback interpolation against the PMM281 formula sheet is outstanding, as Claude flagged its reading of Cp, Ci and Cf as an unconfirmed interpretation.</t>
  </si>
  <si>
    <t>Accepted for review; Case A is retained despite being unflattering because it is the institution's real exposure after the project ends.</t>
  </si>
  <si>
    <t>Risk Register Consolidation</t>
  </si>
  <si>
    <t>Audited Member C's 13 risks against the 09 September constraints and added 10 covering schedule capacity, the AI productivity assumption and the 22 September stack deadline. Built the ordinal-to-monetary bridge so the charter's RE and RRL are reproducible from C's register.</t>
  </si>
  <si>
    <t>Verified; Cross reference checked with Member C that ten added risks aligned with project outputs and realistic risk expectations</t>
  </si>
  <si>
    <t>Accepted; Member C verfied accuracy and consistency among the proposed risks added.</t>
  </si>
  <si>
    <t>Claude Code (Claude Opus 5.5)</t>
  </si>
  <si>
    <t>Data and persistence baseline generation (M2 criterion C)</t>
  </si>
  <si>
    <t>Drafted the data baseline: entity/ownership table, Mongoose schemas for requests, requestHistory, notifications, reportingCounts, auditLog, users/roles/groups/categories; append-only constraint DB-01 at three layers; index justifications; storage and throughput arithmetic against free-cluster limits.</t>
  </si>
  <si>
    <t>Manual inspection against MongoDB documentation and project constraints (Master Brief, M2 brief, Assignment 2, baselined registers). Free-cluster limits and trigger semantics checked against the MongoDB Atlas documentation pages; append-only guard behaviour tested with a no-database probe against mongoose 8.24.4; bulkWrite hook verified to block updates and pass inserts.</t>
  </si>
  <si>
    <t>Accepted with modifications: collection names kept as in the DEC-011 component diagram; status values, roles and mandatory fields aligned to FR-6.1, FR-1.2 and FR-2.2 rather than to the existing code.</t>
  </si>
  <si>
    <t>Probe showed bulkWrite and Model.collection bypass the schema guard (review comment R-11), which added database-role layer 3. Assignment 2's premise that triggers run inside the transaction holds for SQL but not Atlas; recorded as a divergence in DEC-016.</t>
  </si>
  <si>
    <t>ADR drafting: DEC-003, DEC-010, DEC-015, DEC-016, DEC-017; PROC-001; CR-001 to CR-004</t>
  </si>
  <si>
    <t>Drafted five decision records, the manual anonymisation procedure with its mongosh script, the backup/restore scripts and four change requests.</t>
  </si>
  <si>
    <t>Manual inspection against MongoDB documentation and project constraints (Master Brief, M2 brief, Assignment 2, baselined registers). Idempotency-Key semantics checked against IETF draft-ietf-httpapi-idempotency-key-header-07; POPIA s.14 retention exception checked against published commentary; RFC 9110 status semantics reviewed.</t>
  </si>
  <si>
    <t>Accepted with modifications made by me: 'bi-monthly' confirmed as twice monthly (14-30 day anonymisation window); Node runtime set to 22 minimum (&gt;=22.0.0) instead of the AI-proposed Node 24; 12-hour backup cadence and free-cluster retention confirmed.</t>
  </si>
  <si>
    <t>AI identified that an every-two-months schedule could not satisfy the 30-day rule, and that FR-6.7 conflicts with anonymisation (raised as OI-13 / CR-003).</t>
  </si>
  <si>
    <t>RTM updates (v0.4 to v0.5)</t>
  </si>
  <si>
    <t>Populated the data/persistence column for all 62 outstanding rows, corrected 10 populated cells, added DEC-015/016/017 design and ADR references; generated the v0.5 xlsx and CSV by script.</t>
  </si>
  <si>
    <t>Manual inspection against MongoDB documentation and project constraints (Master Brief, M2 brief, Assignment 2, baselined registers). Script asserted zero remaining 'Pending - data model' cells and 79 rows; spot-checked FR-2.2, FR-6.7, NFR-1.4 and NFR-4.2 in the output.</t>
  </si>
  <si>
    <t>Accepted.</t>
  </si>
  <si>
    <t>Handover stated 17 of 62 rows (I had assumed 45 remaining); direct count showed 62 outstanding of 79. Two populated cells (FR-2.6, NFR-3.2) held text copied from other rows. AI's change notes initially overstated design entries (30 rows); corrected to 18.</t>
  </si>
  <si>
    <t>Engineering review of Ethan's application slice (PRs #57, #58, #60)</t>
  </si>
  <si>
    <t>Produced 22 review comments (R-01 to R-22) with file and line anchors; compiled into docs/M2_BACKEND_CORRECTIONS.md.</t>
  </si>
  <si>
    <t>Manual inspection against MongoDB documentation and project constraints (Master Brief, M2 brief, Assignment 2, baselined registers). Ran npm install and npm test (16 passing, 1 file failing on import); inspected each cited line; confirmed requirement wording in the registers.</t>
  </si>
  <si>
    <t>Accepted with one point rejected: the AI suggested the PRs may have merged without two approvals; I confirmed both reviewers approved, and the governance remark was removed.</t>
  </si>
  <si>
    <t>Found router and guard committed under tests/ (dev broken), status/role/mandatory-field mismatches with FR-6.1/FR-1.2/FR-2.2, and non-atomic status change and history write (DEC-016).</t>
  </si>
  <si>
    <t>Build structure fixes, repository integration and configuration management</t>
  </si>
  <si>
    <t>Moved requestRoutes.js and authorise.js from tests/ to src/; set engines to &gt;=22.0.0; extracted scripts to scripts/; created Decision Log v0.5, Risk Register V0.5, Open Items v0.3, Acceptance Criteria v0.3, NFR v0.3, PED v1.6; archived superseded versions; wrote the version audit report.</t>
  </si>
  <si>
    <t>Manual inspection against MongoDB documentation and project constraints (Master Brief, M2 brief, Assignment 2, baselined registers). npm test 23/23 after the move; npm install on Node 26 without EBADENGINE; bash -n and node --check on scripts; register workbooks re-read to confirm rows, formulas and merged cells.</t>
  </si>
  <si>
    <t>Accepted with modifications made by me: PED renamed from v2.0 to v1.6 and Open Items from v0.4 to v0.3 under the team versioning rules (X.0 reserved for signed-off baselines).</t>
  </si>
  <si>
    <t>AI noted .nvmrc cannot hold a semver range (kept at 22); the NFR register still showed NFR-4.2 as blocked though the PED cited v0.3; the archived 'v0.2' Open Items file already carried v0.3 content.</t>
  </si>
  <si>
    <t>Mongoose model alignment, M2 completion audit and PR description</t>
  </si>
  <si>
    <t>Updated src/models to match the data baseline (campusId, version/ETag field, baseline status and role sets, additional baseline collections) with model tests; drafted docs/M2_PERSON_B_AUDIT.md and docs/PR_DESCRIPTION_DRAFT.md.</t>
  </si>
  <si>
    <t>Manual inspection against MongoDB documentation and project constraints (Master Brief, M2 brief, Assignment 2, baselined registers). tests/models.test.js: 16 assertions (FR-6.1 and FR-1.2 value sets, FR-2.2 mandatory fields, campusId, anonymised validity, append-only refusal of six mutation paths incl. bulkWrite, role validation); full suite 39/39.</t>
  </si>
  <si>
    <t>Accepted; model/domain status mismatch left for Ethan's R-07 correction and disclosed in the PR description.</t>
  </si>
  <si>
    <t>Aligning the models to FR-6.1 makes the model disagree with src/domain/requestStatus.js until R-07 is fixed; flagged as a merge dependency.</t>
  </si>
  <si>
    <t>Merge conflict resolution: dev (PR #59) and task/Christiaan-registers-M2 (PR #65) into task/M2-PersonB</t>
  </si>
  <si>
    <t>Resolved the Decision Log, PED and PED v1.5 rename conflicts. Renumbered Member B identifiers (DEC-014–016 → DEC-015–017, RSK-016–018 → RSK-018–020, §6A/§6B → §6B/§6C) across 25 text files and 4 registers. Merged the two parallel PED v1.8 drafts into PED v1.9.</t>
  </si>
  <si>
    <t>Three-way merges against the true common base (PED v1.5, then v1.7); scripted line-by-line check that no line of the other author was lost; ID substitution unit-tested before use; register cells re-scanned by script; npm test after each merge (39/39, then 80/80).</t>
  </si>
  <si>
    <t>Accepted. I chose the renumbering direction (Christiaan's IDs kept, as merged first) and the PED numbering.</t>
  </si>
  <si>
    <t>Both PRs had allocated DEC-014, RSK-016/017, §6A and PED v1.6 to different content. OI-13 collided with Ethan's PR #62. Christiaan's RSK-016/017 were cited in the PED but absent from the register until his V0.6.</t>
  </si>
  <si>
    <t>Code review of PR #62 and PR #63; Open Items v0.4; OpenAPI contract</t>
  </si>
  <si>
    <t>Drafted the PR #62 review (transition model, FR-1.5 guard, Mongoose dotted-path updates) and verified the B-1 to B-4 fixes in PR #63. Added OI-14 and OI-15 (Open Items v0.4). Wrote docs/api/openapi.yaml for POST /requests/{id}/transitions.</t>
  </si>
  <si>
    <t>Findings reproduced by executing the code: Mongoose 8.24.4 update casting and validators, transition/role enumeration, HTTP requests through the Express router and RFC 9457 handler. OpenAPI file validated with openapi-spec-validator (3.1) and checked against src/errors.js and the route.</t>
  </si>
  <si>
    <t>Accepted. I decided to combine OI-15 with Ethan's transition-model item so his code references stay valid.</t>
  </si>
  <si>
    <t>PR #62: security-category requests could not be closed or rejected by anyone; lastActorRole was never written, so audit rows carried actorRole null; Idempotency-Key was optional contrary to DEC-015. All three fixed in PR #63.</t>
  </si>
  <si>
    <t>DEC-002 weighted technology comparison matrix (M2 brief §5.5)</t>
  </si>
  <si>
    <t>Drafted docs/decisions/ADR/DEC-002_Technology_Stack_v0.1.md: the eight §5.5 criteria with constraint-derived weights, 1–5 scores with cited evidence for MERN, PostgreSQL and MySQL variants, and a sensitivity table.</t>
  </si>
  <si>
    <t>Arithmetic checked by script (74.0 / 72.0 / 68.0). Each score cross-checked against A2 §3.2, §3.6 and §5.6, DEC-016, DEC-003 and the Decision Log. Equal scores given where the evidence does not tell the candidates apart.</t>
  </si>
  <si>
    <t>Accepted as a draft, pending review of the weights by the decision owner (E. Lindsay) and the team.</t>
  </si>
  <si>
    <t>The matrix supports MERN only narrowly, on schedule and hosting; PostgreSQL scores higher on requirements fit and leads if schedule is weighted out. Recorded as a retrospective formalisation, not as what produced the decision.</t>
  </si>
  <si>
    <t>RTM v0.7: implementation and verification evidence</t>
  </si>
  <si>
    <t>Populated Implementation and Verification evidence for FR-1.3, FR-1.5, FR-2.2, FR-3.5 and FR-6.1 to FR-6.7 with file and test references; updated the status summary sheet and the CSV.</t>
  </si>
  <si>
    <t>Each reference checked against src/ and the requirement tags in tests/; npm test 80/80; CSV diff confirmed 22 cells changed, in the two evidence columns only.</t>
  </si>
  <si>
    <t>Accepted. FR-1.5, FR-2.2 and FR-3.5 recorded as partial (no read or submission endpoint yet) rather than as implemented.</t>
  </si>
  <si>
    <t>RTM v0.6 still carried all 79 rows as Planned although the slice implements 11.</t>
  </si>
  <si>
    <t>PED v1.9 integration and removal of stale working notes</t>
  </si>
  <si>
    <t>Built PED v1.9 from the two v1.8 drafts: history rows sequenced, Appendix A and the register note cite RTM v0.7, Risk Register V0.6, FEC V0.3, Open Items v0.4, AI Usage v0.6 and the DEC-002 ADR; §6C gained the DEC-002 matrix summary; §7.2 updated. Removed docs/M2_PERSON_B_AUDIT.md, docs/PR_DESCRIPTION_DRAFT.md and docs/VERSION_AUDIT_REPORT.md.</t>
  </si>
  <si>
    <t>Scripted diff of v1.9 against both v1.8 drafts to confirm both authors' content is present; repository-wide search for references to the removed notes.</t>
  </si>
  <si>
    <t>Christiaan's v1.8 cited Open Items v0.3 and FEC v0.2 in Appendix A although FEC V0.3 was in his own change; the PED register note referenced docs/VERSION_AUDIT_REPORT.md, which is being removed.</t>
  </si>
  <si>
    <t xml:space="preserve">Claude </t>
  </si>
  <si>
    <t>Architecture diagrams</t>
  </si>
  <si>
    <t>Drafted the logical, module and physical diagrams from §6A</t>
  </si>
  <si>
    <t>Accepted</t>
  </si>
  <si>
    <t>The DEC-011 diagram leaves out the data layer. This is recorded in §6A.5 as a readability choice, not a contradiction</t>
  </si>
  <si>
    <t>CI workflow and PR template</t>
  </si>
  <si>
    <r>
      <t xml:space="preserve">Drafted </t>
    </r>
    <r>
      <rPr>
        <sz val="10"/>
        <color theme="1"/>
        <rFont val="Arial Unicode MS"/>
      </rPr>
      <t>ci.yml</t>
    </r>
    <r>
      <rPr>
        <sz val="11"/>
        <color theme="1"/>
        <rFont val="Aptos Narrow"/>
        <family val="2"/>
        <scheme val="minor"/>
      </rPr>
      <t xml:space="preserve"> (npm ci, tests on Node 22, layer-boundary check, Gitleaks secret scan) and the PR template</t>
    </r>
  </si>
  <si>
    <r>
      <t xml:space="preserve">Ran it on PR #66 and both jobs passed. Confirmed the layer check passes on the current </t>
    </r>
    <r>
      <rPr>
        <sz val="10"/>
        <color theme="1"/>
        <rFont val="Arial Unicode MS"/>
      </rPr>
      <t>src/</t>
    </r>
    <r>
      <rPr>
        <sz val="11"/>
        <color theme="1"/>
        <rFont val="Aptos Narrow"/>
        <family val="2"/>
        <scheme val="minor"/>
      </rPr>
      <t>. Set both jobs as required status checks</t>
    </r>
  </si>
  <si>
    <r>
      <t xml:space="preserve">Accepted with changes. I switched from </t>
    </r>
    <r>
      <rPr>
        <sz val="10"/>
        <color theme="1"/>
        <rFont val="Arial Unicode MS"/>
      </rPr>
      <t>.nvmrc</t>
    </r>
    <r>
      <rPr>
        <sz val="11"/>
        <color theme="1"/>
        <rFont val="Aptos Narrow"/>
        <family val="2"/>
        <scheme val="minor"/>
      </rPr>
      <t xml:space="preserve"> to </t>
    </r>
    <r>
      <rPr>
        <sz val="10"/>
        <color theme="1"/>
        <rFont val="Arial Unicode MS"/>
      </rPr>
      <t>node-version: 22</t>
    </r>
    <r>
      <rPr>
        <sz val="11"/>
        <color theme="1"/>
        <rFont val="Aptos Narrow"/>
        <family val="2"/>
        <scheme val="minor"/>
      </rPr>
      <t xml:space="preserve"> because </t>
    </r>
    <r>
      <rPr>
        <sz val="10"/>
        <color theme="1"/>
        <rFont val="Arial Unicode MS"/>
      </rPr>
      <t>.nvmrc</t>
    </r>
    <r>
      <rPr>
        <sz val="11"/>
        <color theme="1"/>
        <rFont val="Aptos Narrow"/>
        <family val="2"/>
        <scheme val="minor"/>
      </rPr>
      <t xml:space="preserve"> wasn't on dev yet, and kept the pipeline to stage 1</t>
    </r>
  </si>
  <si>
    <t>The layer check is text-based and can't catch cross-module reads. This limitation is recorded in PED §11.1</t>
  </si>
  <si>
    <t>PR review assistance</t>
  </si>
  <si>
    <t>Analysed the diffs and test output, and drafted short review comments</t>
  </si>
  <si>
    <t>Ran npm test locally for each PR (80/80 on the last one), read the diffs myself, and checked the ID numbering</t>
  </si>
  <si>
    <t>Accepted. I shortened the comments and posted them in my own words</t>
  </si>
  <si>
    <t>The DEC numbering collision in #62 (Robert also found it). My own FEC version slip had carried into v1.9</t>
  </si>
  <si>
    <t xml:space="preserve">PED v1.10 and README </t>
  </si>
  <si>
    <t>Scanned the PED for stale version references, drafted the extra text, and wrote the README structure and contributing sections</t>
  </si>
  <si>
    <t>Reviewed the diff against v1.9 line by line, checked every version against the file in the repo, and verified the two new references</t>
  </si>
  <si>
    <t>Duplicate PED v1.8 and RTM v0.6 files were left in the current folders after the merges, so I removed them</t>
  </si>
  <si>
    <t>ASRs and architecture baseline</t>
  </si>
  <si>
    <t>Drafted the ASR table from the NFR, CON, DEC and RSK registers, the screened-out NFRs, the four-alternative comparison, layers, modules, tiers, DEC-014 and the sign-off table</t>
  </si>
  <si>
    <t>I checked every source ID against the registers and every reference on Google Scholar. The PR was reviewed by Ethan and Robert</t>
  </si>
  <si>
    <t>My first attempt edited PED v1.5 in place. Ethan rejected it and I redid it as v1.6. The Contents numbering also broke and had to be fixed</t>
  </si>
  <si>
    <t>Risk Register V0.6, FEC Register V0.3, RTM v0.6, PED v1.8</t>
  </si>
  <si>
    <t>Drafted RSK-016 and RSK-017, the re-scores and the M2 review column, and extended the exposure formulas. Drafted the FEC M2 influence sheet. Filled the RTM ASR and module columns for all 79 rows (script-assisted)</t>
  </si>
  <si>
    <t>An automated find-and-replace changed the FEC M1 version in §1.7.1 to V0.3 and missed Appendix A. Robert caught Appendix A in v1.9, and I fixed §1.7.1 in v1.10. An Excel lock file almost got committed</t>
  </si>
  <si>
    <t>Compared each diagram against the §6A text and Robert's deployment section</t>
  </si>
  <si>
    <t>Accepted with changes. I chose the closed layered modular monolith over the three alternatives, and simplified the wording after Ethan's review.</t>
  </si>
  <si>
    <t>Accepted. I closed RSK-008 as superseded instead of re-scoring it, and kept RSK-012 open as mitigated at Ethan's request.</t>
  </si>
  <si>
    <t>Recalculated the register in LibreOffice (9 High, 9 Medium, 2 closed or materialised). Checked each re-score against DEC-005, DEC-017, DEC-003 and DEC-010. Spot-checked RTM rows against §6A.3.1 and §6A.6. Robert reviewed it</t>
  </si>
  <si>
    <t>Application slice corrections, review comments R-01 to R-22</t>
  </si>
  <si>
    <t>Rewrote the domain, service, repositories, routes and tests against Robert's 22 review comments. Added the unit-of-work port (DEC-016), the RFC 9457 error handler and the single authorisation rule set in src/domain/accessRules.js</t>
  </si>
  <si>
    <t>Ran npm test (80/80 on Node 22). Checked every status and role value against the requirement text in the RTM rather than against the previous code. Re-ran the route-table negative check by registering an unguarded route and confirming the suite failed, then reverting; captured at docs/evidence/R-01_negative_verification.txt</t>
  </si>
  <si>
    <t>The original slice invented status values (Submitted, Acknowledged) and role names (Department Staff, Department Head) that contradict FR-6.1 and FR-1.2, and the tests cited those requirement IDs while asserting the wrong values. Robert caught it in review. The correct values were in the RTM I built myself. Fixed structurally rather than patched: the domain now imports STATUS and ROLE from src/models/_shared.js so it has no copy to drift</t>
  </si>
  <si>
    <t>PR #62 second-round corrections, B-1 to B-4</t>
  </si>
  <si>
    <t>Applied the four blocking fixes and swept 48 identifier references across 14 files for the DEC renumbering</t>
  </si>
  <si>
    <t>npm test 80/80. Checked the DEC remap was applied simultaneously rather than cascading (DEC-014 to DEC-015 must not then become DEC-016). Asked for a property test over every disposition target rather than two example cases, so the same class of gap cannot reappear</t>
  </si>
  <si>
    <t>B-1: restricting security-category requests to the Security Officer without also giving them disposition rights meant no role could close or reject one. Those requests would never reach closure.closedAt, and PROC-001 selects on closure, so the records holding the most sensitive personal data would have been the only ones never anonymised (CON-007). A least-privilege rule had created a retention exposure. B-2: lastActorRole was written from actor.role, which is always undefined; Mongoose strips undefined keys, so every audit row would have carried actorRole: null with no error anywhere</t>
  </si>
  <si>
    <t>RTM v0.8 — NFR-3.3 evidence and evidence-level corrections</t>
  </si>
  <si>
    <t>Audited the eleven implementation and verification cells Robert added in #67 against src/ and tests/. Drafted the NFR-3.3 cells and the component-level header note</t>
  </si>
  <si>
    <t>Checked that every file, function and test named in the eleven cells exists and does what the cell claims. Pasted the cells into the workbook by hand rather than script-writing it, to avoid losing the conditional formatting, and checked the requirement ID in column A before each paste</t>
  </si>
  <si>
    <t>Accepted with changes. I corrected FR-1.3 and FR-6.7 from Implemented to Partially implemented in v0.8 myself rather than blocking Robert's PR on the deadline, and approved #67 with the corrections recorded</t>
  </si>
  <si>
    <t>Nothing in src/ assembles the routes, service, repositories and unit of work into a running application — no Express app, no listen(), and no session middleware — so every "Implemented" cell overstated what an assessor would find. Recorded as a header note covering the whole matrix. FR-6.7 also claimed "prevent any user" while its own caveat said layer 3 is M3. Separately, a stray paste had put the text "K68" into K41 (FR-7.1) instead of the planned status</t>
  </si>
  <si>
    <t>DEC-011 and DEC-012 diagrams (PED Figures 1 and 2)</t>
  </si>
  <si>
    <t>Checked every label in both Mermaid sources against the current code, redrew both, and rendered the PNGs the PED embeds</t>
  </si>
  <si>
    <t>Compared every participant, route, function and refusal reason against src/ rather than against the decision records, since the records are what the diagrams had drifted from. Checked the rendered images for clipped labels and shortened the transaction box label where it overflowed</t>
  </si>
  <si>
    <t>Accepted with changes. Sources and images committed together so they cannot disagree</t>
  </si>
  <si>
    <t>DEC-012 Path C drew a flow the authorisation rules forbid: a staff viewer passing the service-layer check and being restricted at the serialiser, which OI-15 makes impossible. It also restricted "reporter identity", which appears in no requirement — a value I invented when the diagram was first drawn, the same failure as the status values in Row 1. DEC-011 still showed the two writes as independent, the arrangement R-15 objected to. Drawing Path C correctly raised a requirements conflict, now OI-16: read literally, FR-1.5 withholds a requester's own description from them, which FR-3.5 and FR-3.6 both appear to assume they can see</t>
  </si>
  <si>
    <t>PED v1.11 — alignment to RTM v0.8 and the corrected diagrams</t>
  </si>
  <si>
    <t>Diffed the outstanding corrections against Christiaan's v1.10, withdrew the ones he had already fixed, and drafted the remainder as current text against proposed replacement</t>
  </si>
  <si>
    <t>Accepted with changes. Kept Christiaan's approach to §10.6 — retaining the original paragraph and adding an updated one — over my own proposal to replace it, because it applies the retain-and-supersede rule inside a section</t>
  </si>
  <si>
    <t>Read each proposed replacement against the current text before approving it. Confirmed the RTM, Open Items and Decision Log versions cited in the PED match the files actually in the repository</t>
  </si>
  <si>
    <t>PED v1.0 §10.2 states "Ten entries: seven decided, three deferred" but its table lists nine (DEC-001 to DEC-009), six decided and three deferred. Both numbers are wrong and §12.1 of v1.0 repeats the error. Recorded as a note in the current version rather than corrected, because v1.0 is the baselined M1 record and §1.4 does not permit rewriting it — correcting it would contradict the supersession argument the same document makes in §10.5</t>
  </si>
  <si>
    <t>Verification tests for FR-6.3 atomicity and FR-6.5</t>
  </si>
  <si>
    <t>Proposed and wrote three tests in tests/statusTransitionService.test.js, after I asked for the assertions to be set out before any code was written</t>
  </si>
  <si>
    <t>Ran npm test (83/83, up from 80). Verified each assertion by breaking the thing it protects and confirming the failure, then reverting: the history write moved outside unitOfWork.run(), the service swallowing the history-write error, and fieldsFor no longer writing resolution.*</t>
  </si>
  <si>
    <t>The existing DEC-016 test asserted only the order of the two writes, so it still passed with the history write moved outside the transaction — the atomicity RTM v0.8 cites this file for was never actually verified. The FR-6.5 resolution.* write had no test at all. Both gaps were in tests I had written earlier and believed were sufficient, and both were found by review rather than by the suite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</si>
</sst>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 mmm\ yyyy"/>
  </numFmts>
  <fonts count="6">
    <font>
      <sz val="11"/>
      <color theme="1"/>
      <name val="Aptos Narrow"/>
      <family val="2"/>
      <scheme val="minor"/>
    </font>
    <font>
      <b/>
      <sz val="18"/>
      <color rgb="FF1F3864"/>
      <name val="Aptos Narrow"/>
      <family val="2"/>
      <scheme val="minor"/>
    </font>
    <font>
      <b/>
      <sz val="11"/>
      <color rgb="FFFFFFFF"/>
      <name val="Aptos Narrow"/>
      <family val="2"/>
      <scheme val="minor"/>
    </font>
    <font>
      <sz val="10"/>
      <name val="Calibri"/>
      <family val="2"/>
    </font>
    <font>
      <sz val="10"/>
      <color theme="1"/>
      <name val="Arial Unicode MS"/>
    </font>
    <font>
      <sz val="8"/>
      <name val="Aptos Narrow"/>
      <family val="2"/>
      <scheme val="minor"/>
    </font>
  </fonts>
  <fills count="4">
    <fill>
      <patternFill patternType="none"/>
    </fill>
    <fill>
      <patternFill patternType="gray125"/>
    </fill>
    <fill>
      <patternFill patternType="solid">
        <fgColor rgb="FF1F3864"/>
        <bgColor indexed="64"/>
      </patternFill>
    </fill>
    <fill>
      <patternFill patternType="solid">
        <fgColor rgb="FFFFF2CC"/>
      </patternFill>
    </fill>
  </fills>
  <borders count="7">
    <border>
      <left/>
      <right/>
      <top/>
      <bottom/>
      <diagonal/>
    </border>
    <border>
      <left style="thin">
        <color rgb="FFB4C6E7"/>
      </left>
      <right style="thin">
        <color rgb="FFB4C6E7"/>
      </right>
      <top style="thin">
        <color rgb="FFB4C6E7"/>
      </top>
      <bottom style="thin">
        <color rgb="FFB4C6E7"/>
      </bottom>
      <diagonal/>
    </border>
    <border>
      <left style="thin">
        <color rgb="FFB4C6E7"/>
      </left>
      <right style="thin">
        <color rgb="FFB4C6E7"/>
      </right>
      <top/>
      <bottom style="thin">
        <color rgb="FFB4C6E7"/>
      </bottom>
      <diagonal/>
    </border>
    <border>
      <left style="thin">
        <color rgb="FFB4C6E7"/>
      </left>
      <right style="thin">
        <color rgb="FFB4C6E7"/>
      </right>
      <top style="medium">
        <color rgb="FF1F3864"/>
      </top>
      <bottom style="medium">
        <color rgb="FF1F3864"/>
      </bottom>
      <diagonal/>
    </border>
    <border>
      <left style="medium">
        <color rgb="FF1F3864"/>
      </left>
      <right style="thin">
        <color rgb="FFB4C6E7"/>
      </right>
      <top style="medium">
        <color rgb="FF1F3864"/>
      </top>
      <bottom style="medium">
        <color rgb="FF1F3864"/>
      </bottom>
      <diagonal/>
    </border>
    <border>
      <left style="thin">
        <color rgb="FFB4C6E7"/>
      </left>
      <right style="medium">
        <color rgb="FF1F3864"/>
      </right>
      <top style="medium">
        <color rgb="FF1F3864"/>
      </top>
      <bottom style="medium">
        <color rgb="FF1F3864"/>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6">
    <xf numFmtId="0" fontId="0" fillId="0" borderId="0" xfId="0"/>
    <xf numFmtId="0" fontId="0" fillId="0" borderId="0" xfId="0" applyAlignment="1">
      <alignment horizontal="center" vertical="center"/>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164" fontId="0" fillId="0" borderId="2" xfId="0" applyNumberFormat="1" applyBorder="1" applyAlignment="1">
      <alignment horizontal="center" vertical="center" wrapText="1"/>
    </xf>
    <xf numFmtId="0" fontId="0" fillId="0" borderId="2" xfId="0" applyBorder="1" applyAlignment="1">
      <alignment horizontal="center" vertical="center" wrapText="1"/>
    </xf>
    <xf numFmtId="164" fontId="0" fillId="0" borderId="1" xfId="0" applyNumberForma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0" fontId="3" fillId="0" borderId="6" xfId="0" applyFont="1" applyBorder="1" applyAlignment="1">
      <alignment horizontal="center" vertical="center" wrapText="1"/>
    </xf>
    <xf numFmtId="0" fontId="3" fillId="3" borderId="6" xfId="0" applyFont="1" applyFill="1" applyBorder="1" applyAlignment="1">
      <alignment horizontal="center" vertical="center" wrapText="1"/>
    </xf>
    <xf numFmtId="16" fontId="3" fillId="0" borderId="6" xfId="0" applyNumberFormat="1" applyFont="1" applyBorder="1" applyAlignment="1">
      <alignment horizontal="center" vertical="center" wrapText="1"/>
    </xf>
    <xf numFmtId="0" fontId="0" fillId="0" borderId="0" xfId="0" applyAlignment="1">
      <alignment horizontal="center" vertical="center" wrapText="1"/>
    </xf>
    <xf numFmtId="0" fontId="1" fillId="0" borderId="0" xfId="0" applyFont="1" applyAlignment="1">
      <alignment horizontal="center" vertical="center"/>
    </xf>
    <xf numFmtId="0" fontId="0" fillId="0" borderId="0" xfId="0" applyAlignment="1">
      <alignment horizontal="center" vertical="center"/>
    </xf>
  </cellXfs>
  <cellStyles count="1">
    <cellStyle name="Normal" xfId="0" builtinId="0"/>
  </cellStyles>
  <dxfs count="6">
    <dxf>
      <fill>
        <patternFill patternType="solid">
          <fgColor indexed="64"/>
          <bgColor rgb="FFF2F6FC"/>
        </patternFill>
      </fill>
    </dxf>
    <dxf>
      <fill>
        <patternFill patternType="solid">
          <fgColor indexed="64"/>
          <bgColor rgb="FFF2F6FC"/>
        </patternFill>
      </fill>
    </dxf>
    <dxf>
      <fill>
        <patternFill patternType="solid">
          <fgColor indexed="64"/>
          <bgColor rgb="FFF2F6FC"/>
        </patternFill>
      </fill>
    </dxf>
    <dxf>
      <fill>
        <patternFill patternType="solid">
          <fgColor indexed="64"/>
          <bgColor rgb="FFF2F6FC"/>
        </patternFill>
      </fill>
    </dxf>
    <dxf>
      <fill>
        <patternFill patternType="solid">
          <fgColor indexed="64"/>
          <bgColor rgb="FFF2F6FC"/>
        </patternFill>
      </fill>
    </dxf>
    <dxf>
      <fill>
        <patternFill patternType="solid">
          <fgColor indexed="64"/>
          <bgColor rgb="FFF2F6F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B1:I185"/>
  <sheetViews>
    <sheetView showGridLines="0" tabSelected="1" zoomScale="85" zoomScaleNormal="85" workbookViewId="0">
      <pane ySplit="2" topLeftCell="A47" activePane="bottomLeft" state="frozen"/>
      <selection pane="bottomLeft" activeCell="H64" sqref="H62:H64"/>
    </sheetView>
  </sheetViews>
  <sheetFormatPr defaultColWidth="40.33203125" defaultRowHeight="14.4"/>
  <cols>
    <col min="1" max="1" width="4.109375" style="1" customWidth="1"/>
    <col min="2" max="2" width="11.77734375" style="1" bestFit="1" customWidth="1"/>
    <col min="3" max="3" width="20" style="1" bestFit="1" customWidth="1"/>
    <col min="4" max="4" width="20.109375" style="1" bestFit="1" customWidth="1"/>
    <col min="5" max="5" width="37" style="1" customWidth="1"/>
    <col min="6" max="6" width="41.44140625" style="1" bestFit="1" customWidth="1"/>
    <col min="7" max="7" width="43.88671875" style="1" bestFit="1" customWidth="1"/>
    <col min="8" max="8" width="41.109375" style="1" bestFit="1" customWidth="1"/>
    <col min="9" max="9" width="42.33203125" style="1" bestFit="1" customWidth="1"/>
    <col min="10" max="16384" width="40.33203125" style="1"/>
  </cols>
  <sheetData>
    <row r="1" spans="2:9" ht="34.200000000000003" customHeight="1" thickBot="1">
      <c r="B1" s="14" t="s">
        <v>0</v>
      </c>
      <c r="C1" s="15"/>
      <c r="D1" s="15"/>
      <c r="E1" s="15"/>
      <c r="F1" s="15"/>
      <c r="G1" s="15"/>
      <c r="H1" s="15"/>
    </row>
    <row r="2" spans="2:9" ht="15" thickBot="1">
      <c r="B2" s="3" t="s">
        <v>1</v>
      </c>
      <c r="C2" s="2" t="s">
        <v>2</v>
      </c>
      <c r="D2" s="2" t="s">
        <v>3</v>
      </c>
      <c r="E2" s="2" t="s">
        <v>4</v>
      </c>
      <c r="F2" s="2" t="s">
        <v>5</v>
      </c>
      <c r="G2" s="2" t="s">
        <v>6</v>
      </c>
      <c r="H2" s="4" t="s">
        <v>7</v>
      </c>
      <c r="I2" s="4" t="s">
        <v>8</v>
      </c>
    </row>
    <row r="3" spans="2:9" ht="43.2">
      <c r="B3" s="5">
        <f t="shared" ref="B3:B8" si="0">DATE(2026,9,8)</f>
        <v>46273</v>
      </c>
      <c r="C3" s="6" t="s">
        <v>9</v>
      </c>
      <c r="D3" s="6" t="s">
        <v>10</v>
      </c>
      <c r="E3" s="6" t="s">
        <v>11</v>
      </c>
      <c r="F3" s="6" t="s">
        <v>12</v>
      </c>
      <c r="G3" s="6" t="s">
        <v>13</v>
      </c>
      <c r="H3" s="6" t="s">
        <v>14</v>
      </c>
    </row>
    <row r="4" spans="2:9" ht="28.8">
      <c r="B4" s="7">
        <f t="shared" si="0"/>
        <v>46273</v>
      </c>
      <c r="C4" s="8" t="s">
        <v>9</v>
      </c>
      <c r="D4" s="8" t="s">
        <v>10</v>
      </c>
      <c r="E4" s="8" t="s">
        <v>15</v>
      </c>
      <c r="F4" s="8" t="s">
        <v>16</v>
      </c>
      <c r="G4" s="8" t="s">
        <v>17</v>
      </c>
      <c r="H4" s="8" t="s">
        <v>18</v>
      </c>
    </row>
    <row r="5" spans="2:9" ht="28.8">
      <c r="B5" s="7">
        <f t="shared" si="0"/>
        <v>46273</v>
      </c>
      <c r="C5" s="8" t="s">
        <v>9</v>
      </c>
      <c r="D5" s="8" t="s">
        <v>10</v>
      </c>
      <c r="E5" s="8" t="s">
        <v>19</v>
      </c>
      <c r="F5" s="8" t="s">
        <v>20</v>
      </c>
      <c r="G5" s="8" t="s">
        <v>21</v>
      </c>
      <c r="H5" s="8" t="s">
        <v>22</v>
      </c>
    </row>
    <row r="6" spans="2:9" ht="43.2">
      <c r="B6" s="7">
        <f t="shared" si="0"/>
        <v>46273</v>
      </c>
      <c r="C6" s="8" t="s">
        <v>9</v>
      </c>
      <c r="D6" s="8" t="s">
        <v>10</v>
      </c>
      <c r="E6" s="8" t="s">
        <v>23</v>
      </c>
      <c r="F6" s="8" t="s">
        <v>24</v>
      </c>
      <c r="G6" s="8" t="s">
        <v>25</v>
      </c>
      <c r="H6" s="8" t="s">
        <v>26</v>
      </c>
    </row>
    <row r="7" spans="2:9" ht="43.2">
      <c r="B7" s="7">
        <f t="shared" si="0"/>
        <v>46273</v>
      </c>
      <c r="C7" s="8" t="s">
        <v>9</v>
      </c>
      <c r="D7" s="8" t="s">
        <v>10</v>
      </c>
      <c r="E7" s="8" t="s">
        <v>27</v>
      </c>
      <c r="F7" s="8" t="s">
        <v>28</v>
      </c>
      <c r="G7" s="8" t="s">
        <v>29</v>
      </c>
      <c r="H7" s="8" t="s">
        <v>30</v>
      </c>
    </row>
    <row r="8" spans="2:9" ht="28.8">
      <c r="B8" s="7">
        <f t="shared" si="0"/>
        <v>46273</v>
      </c>
      <c r="C8" s="8" t="s">
        <v>9</v>
      </c>
      <c r="D8" s="8" t="s">
        <v>10</v>
      </c>
      <c r="E8" s="8" t="s">
        <v>31</v>
      </c>
      <c r="F8" s="8" t="s">
        <v>32</v>
      </c>
      <c r="G8" s="8" t="s">
        <v>33</v>
      </c>
      <c r="H8" s="8" t="s">
        <v>34</v>
      </c>
    </row>
    <row r="9" spans="2:9" ht="43.2">
      <c r="B9" s="7">
        <f t="shared" ref="B9:B16" si="1">DATE(2026,9,9)</f>
        <v>46274</v>
      </c>
      <c r="C9" s="8" t="s">
        <v>9</v>
      </c>
      <c r="D9" s="8" t="s">
        <v>10</v>
      </c>
      <c r="E9" s="8" t="s">
        <v>35</v>
      </c>
      <c r="F9" s="8" t="s">
        <v>36</v>
      </c>
      <c r="G9" s="8" t="s">
        <v>37</v>
      </c>
      <c r="H9" s="8" t="s">
        <v>38</v>
      </c>
    </row>
    <row r="10" spans="2:9" ht="57.6">
      <c r="B10" s="7">
        <f t="shared" si="1"/>
        <v>46274</v>
      </c>
      <c r="C10" s="8" t="s">
        <v>9</v>
      </c>
      <c r="D10" s="8" t="s">
        <v>10</v>
      </c>
      <c r="E10" s="8" t="s">
        <v>39</v>
      </c>
      <c r="F10" s="8" t="s">
        <v>40</v>
      </c>
      <c r="G10" s="8" t="s">
        <v>41</v>
      </c>
      <c r="H10" s="8" t="s">
        <v>42</v>
      </c>
    </row>
    <row r="11" spans="2:9" ht="72">
      <c r="B11" s="7">
        <f t="shared" si="1"/>
        <v>46274</v>
      </c>
      <c r="C11" s="8" t="s">
        <v>9</v>
      </c>
      <c r="D11" s="8" t="s">
        <v>10</v>
      </c>
      <c r="E11" s="9" t="s">
        <v>43</v>
      </c>
      <c r="F11" s="8" t="s">
        <v>44</v>
      </c>
      <c r="G11" s="8" t="s">
        <v>45</v>
      </c>
      <c r="H11" s="8" t="s">
        <v>46</v>
      </c>
    </row>
    <row r="12" spans="2:9" ht="43.2">
      <c r="B12" s="7">
        <f t="shared" si="1"/>
        <v>46274</v>
      </c>
      <c r="C12" s="8" t="s">
        <v>9</v>
      </c>
      <c r="D12" s="8" t="s">
        <v>10</v>
      </c>
      <c r="E12" s="8" t="s">
        <v>47</v>
      </c>
      <c r="F12" s="8" t="s">
        <v>48</v>
      </c>
      <c r="G12" s="8" t="s">
        <v>49</v>
      </c>
      <c r="H12" s="8" t="s">
        <v>50</v>
      </c>
    </row>
    <row r="13" spans="2:9" ht="43.2">
      <c r="B13" s="7">
        <f t="shared" si="1"/>
        <v>46274</v>
      </c>
      <c r="C13" s="8" t="s">
        <v>9</v>
      </c>
      <c r="D13" s="8" t="s">
        <v>10</v>
      </c>
      <c r="E13" s="8" t="s">
        <v>51</v>
      </c>
      <c r="F13" s="8" t="s">
        <v>52</v>
      </c>
      <c r="G13" s="8" t="s">
        <v>53</v>
      </c>
      <c r="H13" s="8" t="s">
        <v>54</v>
      </c>
    </row>
    <row r="14" spans="2:9" ht="28.8">
      <c r="B14" s="7">
        <f t="shared" si="1"/>
        <v>46274</v>
      </c>
      <c r="C14" s="8" t="s">
        <v>9</v>
      </c>
      <c r="D14" s="8" t="s">
        <v>10</v>
      </c>
      <c r="E14" s="8" t="s">
        <v>55</v>
      </c>
      <c r="F14" s="8" t="s">
        <v>56</v>
      </c>
      <c r="G14" s="8" t="s">
        <v>57</v>
      </c>
      <c r="H14" s="8" t="s">
        <v>58</v>
      </c>
    </row>
    <row r="15" spans="2:9" ht="43.2">
      <c r="B15" s="7">
        <f t="shared" si="1"/>
        <v>46274</v>
      </c>
      <c r="C15" s="8" t="s">
        <v>9</v>
      </c>
      <c r="D15" s="8" t="s">
        <v>10</v>
      </c>
      <c r="E15" s="8" t="s">
        <v>59</v>
      </c>
      <c r="F15" s="8" t="s">
        <v>60</v>
      </c>
      <c r="G15" s="8" t="s">
        <v>61</v>
      </c>
      <c r="H15" s="8" t="s">
        <v>62</v>
      </c>
    </row>
    <row r="16" spans="2:9" ht="57.6">
      <c r="B16" s="7">
        <f t="shared" si="1"/>
        <v>46274</v>
      </c>
      <c r="C16" s="8" t="s">
        <v>9</v>
      </c>
      <c r="D16" s="8" t="s">
        <v>10</v>
      </c>
      <c r="E16" s="8" t="s">
        <v>63</v>
      </c>
      <c r="F16" s="8" t="s">
        <v>64</v>
      </c>
      <c r="G16" s="8" t="s">
        <v>65</v>
      </c>
      <c r="H16" s="8" t="s">
        <v>66</v>
      </c>
    </row>
    <row r="17" spans="2:9" ht="96.6">
      <c r="B17" s="10" t="s">
        <v>67</v>
      </c>
      <c r="C17" s="10" t="s">
        <v>68</v>
      </c>
      <c r="D17" s="10" t="s">
        <v>10</v>
      </c>
      <c r="E17" s="10" t="s">
        <v>69</v>
      </c>
      <c r="F17" s="10" t="s">
        <v>70</v>
      </c>
      <c r="G17" s="10" t="s">
        <v>71</v>
      </c>
      <c r="H17" s="10" t="s">
        <v>72</v>
      </c>
    </row>
    <row r="18" spans="2:9" ht="110.4">
      <c r="B18" s="10" t="s">
        <v>67</v>
      </c>
      <c r="C18" s="10" t="s">
        <v>68</v>
      </c>
      <c r="D18" s="10" t="s">
        <v>10</v>
      </c>
      <c r="E18" s="10" t="s">
        <v>73</v>
      </c>
      <c r="F18" s="10" t="s">
        <v>74</v>
      </c>
      <c r="G18" s="11" t="s">
        <v>75</v>
      </c>
      <c r="H18" s="11" t="s">
        <v>76</v>
      </c>
    </row>
    <row r="19" spans="2:9" ht="110.4">
      <c r="B19" s="10" t="s">
        <v>77</v>
      </c>
      <c r="C19" s="10" t="s">
        <v>68</v>
      </c>
      <c r="D19" s="10" t="s">
        <v>10</v>
      </c>
      <c r="E19" s="10" t="s">
        <v>78</v>
      </c>
      <c r="F19" s="10" t="s">
        <v>79</v>
      </c>
      <c r="G19" s="10" t="s">
        <v>80</v>
      </c>
      <c r="H19" s="10" t="s">
        <v>81</v>
      </c>
    </row>
    <row r="20" spans="2:9" ht="110.4">
      <c r="B20" s="10" t="s">
        <v>77</v>
      </c>
      <c r="C20" s="10" t="s">
        <v>68</v>
      </c>
      <c r="D20" s="10" t="s">
        <v>10</v>
      </c>
      <c r="E20" s="10" t="s">
        <v>82</v>
      </c>
      <c r="F20" s="10" t="s">
        <v>83</v>
      </c>
      <c r="G20" s="10" t="s">
        <v>84</v>
      </c>
      <c r="H20" s="10" t="s">
        <v>85</v>
      </c>
    </row>
    <row r="21" spans="2:9" ht="165.6">
      <c r="B21" s="10" t="s">
        <v>86</v>
      </c>
      <c r="C21" s="10" t="s">
        <v>68</v>
      </c>
      <c r="D21" s="10" t="s">
        <v>10</v>
      </c>
      <c r="E21" s="10" t="s">
        <v>87</v>
      </c>
      <c r="F21" s="10" t="s">
        <v>88</v>
      </c>
      <c r="G21" s="10" t="s">
        <v>89</v>
      </c>
      <c r="H21" s="10" t="s">
        <v>90</v>
      </c>
    </row>
    <row r="22" spans="2:9" ht="124.2">
      <c r="B22" s="10" t="s">
        <v>86</v>
      </c>
      <c r="C22" s="10" t="s">
        <v>68</v>
      </c>
      <c r="D22" s="10" t="s">
        <v>10</v>
      </c>
      <c r="E22" s="10" t="s">
        <v>91</v>
      </c>
      <c r="F22" s="10" t="s">
        <v>92</v>
      </c>
      <c r="G22" s="10" t="s">
        <v>93</v>
      </c>
      <c r="H22" s="10" t="s">
        <v>94</v>
      </c>
    </row>
    <row r="23" spans="2:9" ht="110.4">
      <c r="B23" s="10" t="s">
        <v>86</v>
      </c>
      <c r="C23" s="10" t="s">
        <v>68</v>
      </c>
      <c r="D23" s="10" t="s">
        <v>10</v>
      </c>
      <c r="E23" s="10" t="s">
        <v>95</v>
      </c>
      <c r="F23" s="10" t="s">
        <v>96</v>
      </c>
      <c r="G23" s="10" t="s">
        <v>97</v>
      </c>
      <c r="H23" s="10" t="s">
        <v>98</v>
      </c>
    </row>
    <row r="24" spans="2:9" ht="96.6">
      <c r="B24" s="10" t="s">
        <v>86</v>
      </c>
      <c r="C24" s="10" t="s">
        <v>68</v>
      </c>
      <c r="D24" s="10" t="s">
        <v>10</v>
      </c>
      <c r="E24" s="10" t="s">
        <v>99</v>
      </c>
      <c r="F24" s="10" t="s">
        <v>100</v>
      </c>
      <c r="G24" s="10" t="s">
        <v>101</v>
      </c>
      <c r="H24" s="10" t="s">
        <v>102</v>
      </c>
    </row>
    <row r="25" spans="2:9" ht="55.2">
      <c r="B25" s="10" t="s">
        <v>86</v>
      </c>
      <c r="C25" s="10" t="s">
        <v>68</v>
      </c>
      <c r="D25" s="10" t="s">
        <v>10</v>
      </c>
      <c r="E25" s="10" t="s">
        <v>103</v>
      </c>
      <c r="F25" s="10" t="s">
        <v>104</v>
      </c>
      <c r="G25" s="10" t="s">
        <v>105</v>
      </c>
      <c r="H25" s="10" t="s">
        <v>106</v>
      </c>
    </row>
    <row r="26" spans="2:9" ht="138">
      <c r="B26" s="10" t="s">
        <v>86</v>
      </c>
      <c r="C26" s="10" t="s">
        <v>68</v>
      </c>
      <c r="D26" s="10" t="s">
        <v>10</v>
      </c>
      <c r="E26" s="10" t="s">
        <v>107</v>
      </c>
      <c r="F26" s="10" t="s">
        <v>108</v>
      </c>
      <c r="G26" s="10" t="s">
        <v>109</v>
      </c>
      <c r="H26" s="10" t="s">
        <v>110</v>
      </c>
    </row>
    <row r="27" spans="2:9" ht="86.4">
      <c r="B27" s="10" t="s">
        <v>86</v>
      </c>
      <c r="C27" s="8" t="s">
        <v>111</v>
      </c>
      <c r="D27" s="10" t="s">
        <v>10</v>
      </c>
      <c r="E27" s="8" t="s">
        <v>112</v>
      </c>
      <c r="F27" s="8" t="s">
        <v>113</v>
      </c>
      <c r="G27" s="8" t="s">
        <v>114</v>
      </c>
      <c r="H27" s="8" t="s">
        <v>115</v>
      </c>
    </row>
    <row r="28" spans="2:9" ht="86.4">
      <c r="B28" s="10" t="s">
        <v>86</v>
      </c>
      <c r="C28" s="8" t="s">
        <v>111</v>
      </c>
      <c r="D28" s="10" t="s">
        <v>10</v>
      </c>
      <c r="E28" s="8" t="s">
        <v>116</v>
      </c>
      <c r="F28" s="8" t="s">
        <v>117</v>
      </c>
      <c r="G28" s="8" t="s">
        <v>118</v>
      </c>
      <c r="H28" s="8" t="s">
        <v>119</v>
      </c>
    </row>
    <row r="29" spans="2:9" ht="86.4">
      <c r="B29" s="10" t="s">
        <v>86</v>
      </c>
      <c r="C29" s="8" t="s">
        <v>111</v>
      </c>
      <c r="D29" s="10" t="s">
        <v>10</v>
      </c>
      <c r="E29" s="8" t="s">
        <v>120</v>
      </c>
      <c r="F29" s="8" t="s">
        <v>121</v>
      </c>
      <c r="G29" s="8" t="s">
        <v>122</v>
      </c>
      <c r="H29" s="8" t="s">
        <v>123</v>
      </c>
    </row>
    <row r="30" spans="2:9" ht="86.4">
      <c r="B30" s="10" t="s">
        <v>86</v>
      </c>
      <c r="C30" s="8" t="s">
        <v>111</v>
      </c>
      <c r="D30" s="10" t="s">
        <v>10</v>
      </c>
      <c r="E30" s="8" t="s">
        <v>124</v>
      </c>
      <c r="F30" s="8" t="s">
        <v>125</v>
      </c>
      <c r="G30" s="8" t="s">
        <v>126</v>
      </c>
      <c r="H30" s="8" t="s">
        <v>127</v>
      </c>
    </row>
    <row r="31" spans="2:9" ht="115.2">
      <c r="B31" s="12">
        <v>46294</v>
      </c>
      <c r="C31" s="8" t="s">
        <v>111</v>
      </c>
      <c r="D31" s="10" t="s">
        <v>128</v>
      </c>
      <c r="E31" s="8" t="s">
        <v>129</v>
      </c>
      <c r="F31" s="8" t="s">
        <v>130</v>
      </c>
      <c r="G31" s="8" t="s">
        <v>131</v>
      </c>
      <c r="H31" s="8" t="s">
        <v>132</v>
      </c>
      <c r="I31" s="8" t="s">
        <v>133</v>
      </c>
    </row>
    <row r="32" spans="2:9" ht="100.8">
      <c r="B32" s="12">
        <v>46294</v>
      </c>
      <c r="C32" s="8" t="s">
        <v>111</v>
      </c>
      <c r="D32" s="10" t="s">
        <v>128</v>
      </c>
      <c r="E32" s="8" t="s">
        <v>134</v>
      </c>
      <c r="F32" s="8" t="s">
        <v>135</v>
      </c>
      <c r="G32" s="8" t="s">
        <v>136</v>
      </c>
      <c r="H32" s="8" t="s">
        <v>137</v>
      </c>
      <c r="I32" s="8" t="s">
        <v>138</v>
      </c>
    </row>
    <row r="33" spans="2:9" ht="86.4">
      <c r="B33" s="12">
        <v>46294</v>
      </c>
      <c r="C33" s="8" t="s">
        <v>111</v>
      </c>
      <c r="D33" s="10" t="s">
        <v>128</v>
      </c>
      <c r="E33" s="8" t="s">
        <v>139</v>
      </c>
      <c r="F33" s="8" t="s">
        <v>140</v>
      </c>
      <c r="G33" s="8" t="s">
        <v>141</v>
      </c>
      <c r="H33" s="8" t="s">
        <v>142</v>
      </c>
      <c r="I33" s="8" t="s">
        <v>143</v>
      </c>
    </row>
    <row r="34" spans="2:9" ht="86.4">
      <c r="B34" s="12">
        <v>46294</v>
      </c>
      <c r="C34" s="8" t="s">
        <v>111</v>
      </c>
      <c r="D34" s="10" t="s">
        <v>128</v>
      </c>
      <c r="E34" s="8" t="s">
        <v>144</v>
      </c>
      <c r="F34" s="8" t="s">
        <v>145</v>
      </c>
      <c r="G34" s="8" t="s">
        <v>146</v>
      </c>
      <c r="H34" s="8" t="s">
        <v>147</v>
      </c>
      <c r="I34" s="8" t="s">
        <v>148</v>
      </c>
    </row>
    <row r="35" spans="2:9" ht="100.8">
      <c r="B35" s="12">
        <v>46294</v>
      </c>
      <c r="C35" s="8" t="s">
        <v>111</v>
      </c>
      <c r="D35" s="10" t="s">
        <v>128</v>
      </c>
      <c r="E35" s="8" t="s">
        <v>149</v>
      </c>
      <c r="F35" s="8" t="s">
        <v>150</v>
      </c>
      <c r="G35" s="8" t="s">
        <v>151</v>
      </c>
      <c r="H35" s="8" t="s">
        <v>152</v>
      </c>
      <c r="I35" s="8" t="s">
        <v>153</v>
      </c>
    </row>
    <row r="36" spans="2:9" ht="115.2">
      <c r="B36" s="12">
        <v>46294</v>
      </c>
      <c r="C36" s="8" t="s">
        <v>111</v>
      </c>
      <c r="D36" s="10" t="s">
        <v>128</v>
      </c>
      <c r="E36" s="8" t="s">
        <v>154</v>
      </c>
      <c r="F36" s="8" t="s">
        <v>155</v>
      </c>
      <c r="G36" s="8" t="s">
        <v>156</v>
      </c>
      <c r="H36" s="8" t="s">
        <v>157</v>
      </c>
      <c r="I36" s="8" t="s">
        <v>158</v>
      </c>
    </row>
    <row r="37" spans="2:9" ht="86.4">
      <c r="B37" s="12">
        <v>46294</v>
      </c>
      <c r="C37" s="8" t="s">
        <v>111</v>
      </c>
      <c r="D37" s="10" t="s">
        <v>128</v>
      </c>
      <c r="E37" s="8" t="s">
        <v>159</v>
      </c>
      <c r="F37" s="8" t="s">
        <v>160</v>
      </c>
      <c r="G37" s="8" t="s">
        <v>161</v>
      </c>
      <c r="H37" s="8" t="s">
        <v>162</v>
      </c>
      <c r="I37" s="8" t="s">
        <v>163</v>
      </c>
    </row>
    <row r="38" spans="2:9" ht="86.4">
      <c r="B38" s="12">
        <v>46294</v>
      </c>
      <c r="C38" s="8" t="s">
        <v>111</v>
      </c>
      <c r="D38" s="10" t="s">
        <v>128</v>
      </c>
      <c r="E38" s="8" t="s">
        <v>164</v>
      </c>
      <c r="F38" s="8" t="s">
        <v>165</v>
      </c>
      <c r="G38" s="8" t="s">
        <v>166</v>
      </c>
      <c r="H38" s="8" t="s">
        <v>167</v>
      </c>
      <c r="I38" s="8" t="s">
        <v>168</v>
      </c>
    </row>
    <row r="39" spans="2:9" ht="72">
      <c r="B39" s="12">
        <v>46294</v>
      </c>
      <c r="C39" s="8" t="s">
        <v>111</v>
      </c>
      <c r="D39" s="10" t="s">
        <v>128</v>
      </c>
      <c r="E39" s="8" t="s">
        <v>169</v>
      </c>
      <c r="F39" s="8" t="s">
        <v>170</v>
      </c>
      <c r="G39" s="8" t="s">
        <v>171</v>
      </c>
      <c r="H39" s="8" t="s">
        <v>172</v>
      </c>
      <c r="I39" s="8" t="s">
        <v>173</v>
      </c>
    </row>
    <row r="40" spans="2:9" ht="57.6">
      <c r="B40" s="12">
        <v>46294</v>
      </c>
      <c r="C40" s="8" t="s">
        <v>111</v>
      </c>
      <c r="D40" s="10" t="s">
        <v>128</v>
      </c>
      <c r="E40" s="8" t="s">
        <v>174</v>
      </c>
      <c r="F40" s="8" t="s">
        <v>175</v>
      </c>
      <c r="G40" s="8" t="s">
        <v>176</v>
      </c>
      <c r="H40" s="8" t="s">
        <v>177</v>
      </c>
      <c r="I40" s="8" t="s">
        <v>178</v>
      </c>
    </row>
    <row r="41" spans="2:9" ht="129.6">
      <c r="B41" s="12">
        <v>46294</v>
      </c>
      <c r="C41" s="8" t="s">
        <v>111</v>
      </c>
      <c r="D41" s="10" t="s">
        <v>128</v>
      </c>
      <c r="E41" s="8" t="s">
        <v>179</v>
      </c>
      <c r="F41" s="8" t="s">
        <v>180</v>
      </c>
      <c r="G41" s="8" t="s">
        <v>181</v>
      </c>
      <c r="H41" s="8" t="s">
        <v>142</v>
      </c>
      <c r="I41" s="8" t="s">
        <v>182</v>
      </c>
    </row>
    <row r="42" spans="2:9" ht="43.2">
      <c r="B42" s="12">
        <v>46294</v>
      </c>
      <c r="C42" s="8" t="s">
        <v>68</v>
      </c>
      <c r="D42" s="10" t="s">
        <v>183</v>
      </c>
      <c r="E42" s="8" t="s">
        <v>184</v>
      </c>
      <c r="F42" s="8" t="s">
        <v>185</v>
      </c>
      <c r="G42" s="8" t="s">
        <v>209</v>
      </c>
      <c r="H42" s="8" t="s">
        <v>186</v>
      </c>
      <c r="I42" s="8" t="s">
        <v>187</v>
      </c>
    </row>
    <row r="43" spans="2:9" ht="72">
      <c r="B43" s="12">
        <v>46294</v>
      </c>
      <c r="C43" s="8" t="s">
        <v>68</v>
      </c>
      <c r="D43" s="10" t="s">
        <v>183</v>
      </c>
      <c r="E43" s="8" t="s">
        <v>206</v>
      </c>
      <c r="F43" s="8" t="s">
        <v>207</v>
      </c>
      <c r="G43" s="8" t="s">
        <v>212</v>
      </c>
      <c r="H43" s="8" t="s">
        <v>211</v>
      </c>
      <c r="I43" s="8" t="s">
        <v>208</v>
      </c>
    </row>
    <row r="44" spans="2:9" ht="57.6">
      <c r="B44" s="12">
        <v>46295</v>
      </c>
      <c r="C44" s="8" t="s">
        <v>68</v>
      </c>
      <c r="D44" s="10" t="s">
        <v>183</v>
      </c>
      <c r="E44" s="8" t="s">
        <v>202</v>
      </c>
      <c r="F44" s="8" t="s">
        <v>203</v>
      </c>
      <c r="G44" s="8" t="s">
        <v>204</v>
      </c>
      <c r="H44" s="8" t="s">
        <v>210</v>
      </c>
      <c r="I44" s="8" t="s">
        <v>205</v>
      </c>
    </row>
    <row r="45" spans="2:9" ht="43.2">
      <c r="B45" s="12">
        <v>46295</v>
      </c>
      <c r="C45" s="8" t="s">
        <v>68</v>
      </c>
      <c r="D45" s="10" t="s">
        <v>183</v>
      </c>
      <c r="E45" s="1" t="s">
        <v>188</v>
      </c>
      <c r="F45" s="13" t="s">
        <v>189</v>
      </c>
      <c r="G45" s="13" t="s">
        <v>190</v>
      </c>
      <c r="H45" s="13" t="s">
        <v>191</v>
      </c>
      <c r="I45" s="8" t="s">
        <v>192</v>
      </c>
    </row>
    <row r="46" spans="2:9" ht="43.2">
      <c r="B46" s="12">
        <v>46295</v>
      </c>
      <c r="C46" s="8" t="s">
        <v>68</v>
      </c>
      <c r="D46" s="10" t="s">
        <v>183</v>
      </c>
      <c r="E46" s="8" t="s">
        <v>193</v>
      </c>
      <c r="F46" s="8" t="s">
        <v>194</v>
      </c>
      <c r="G46" s="8" t="s">
        <v>195</v>
      </c>
      <c r="H46" s="8" t="s">
        <v>196</v>
      </c>
      <c r="I46" s="8" t="s">
        <v>197</v>
      </c>
    </row>
    <row r="47" spans="2:9" ht="43.2">
      <c r="B47" s="12">
        <v>46295</v>
      </c>
      <c r="C47" s="8" t="s">
        <v>68</v>
      </c>
      <c r="D47" s="10" t="s">
        <v>183</v>
      </c>
      <c r="E47" s="1" t="s">
        <v>198</v>
      </c>
      <c r="F47" s="8" t="s">
        <v>199</v>
      </c>
      <c r="G47" s="8" t="s">
        <v>200</v>
      </c>
      <c r="H47" s="8" t="s">
        <v>186</v>
      </c>
      <c r="I47" s="8" t="s">
        <v>201</v>
      </c>
    </row>
    <row r="48" spans="2:9" ht="144">
      <c r="B48" s="12">
        <v>46295</v>
      </c>
      <c r="C48" s="8" t="s">
        <v>9</v>
      </c>
      <c r="D48" s="10" t="s">
        <v>10</v>
      </c>
      <c r="E48" s="8" t="s">
        <v>213</v>
      </c>
      <c r="F48" s="8" t="s">
        <v>214</v>
      </c>
      <c r="G48" s="8" t="s">
        <v>215</v>
      </c>
      <c r="H48" s="8" t="s">
        <v>186</v>
      </c>
      <c r="I48" s="8" t="s">
        <v>216</v>
      </c>
    </row>
    <row r="49" spans="2:9" ht="187.2">
      <c r="B49" s="12">
        <v>46295</v>
      </c>
      <c r="C49" s="8" t="s">
        <v>9</v>
      </c>
      <c r="D49" s="10" t="s">
        <v>183</v>
      </c>
      <c r="E49" s="8" t="s">
        <v>217</v>
      </c>
      <c r="F49" s="8" t="s">
        <v>218</v>
      </c>
      <c r="G49" s="8" t="s">
        <v>219</v>
      </c>
      <c r="H49" s="8" t="s">
        <v>186</v>
      </c>
      <c r="I49" s="8" t="s">
        <v>220</v>
      </c>
    </row>
    <row r="50" spans="2:9" ht="144">
      <c r="B50" s="12">
        <v>46295</v>
      </c>
      <c r="C50" s="8" t="s">
        <v>9</v>
      </c>
      <c r="D50" s="10" t="s">
        <v>10</v>
      </c>
      <c r="E50" s="8" t="s">
        <v>221</v>
      </c>
      <c r="F50" s="8" t="s">
        <v>222</v>
      </c>
      <c r="G50" s="8" t="s">
        <v>223</v>
      </c>
      <c r="H50" s="8" t="s">
        <v>224</v>
      </c>
      <c r="I50" s="8" t="s">
        <v>225</v>
      </c>
    </row>
    <row r="51" spans="2:9" ht="187.2">
      <c r="B51" s="12">
        <v>46295</v>
      </c>
      <c r="C51" s="8" t="s">
        <v>9</v>
      </c>
      <c r="D51" s="10" t="s">
        <v>183</v>
      </c>
      <c r="E51" s="8" t="s">
        <v>226</v>
      </c>
      <c r="F51" s="8" t="s">
        <v>227</v>
      </c>
      <c r="G51" s="8" t="s">
        <v>228</v>
      </c>
      <c r="H51" s="8" t="s">
        <v>229</v>
      </c>
      <c r="I51" s="8" t="s">
        <v>230</v>
      </c>
    </row>
    <row r="52" spans="2:9" ht="144">
      <c r="B52" s="12">
        <v>46295</v>
      </c>
      <c r="C52" s="8" t="s">
        <v>9</v>
      </c>
      <c r="D52" s="10" t="s">
        <v>10</v>
      </c>
      <c r="E52" s="8" t="s">
        <v>231</v>
      </c>
      <c r="F52" s="8" t="s">
        <v>232</v>
      </c>
      <c r="G52" s="8" t="s">
        <v>234</v>
      </c>
      <c r="H52" s="8" t="s">
        <v>233</v>
      </c>
      <c r="I52" s="8" t="s">
        <v>235</v>
      </c>
    </row>
    <row r="53" spans="2:9" ht="115.2">
      <c r="B53" s="12">
        <v>46295</v>
      </c>
      <c r="C53" s="8" t="s">
        <v>9</v>
      </c>
      <c r="D53" s="10" t="s">
        <v>183</v>
      </c>
      <c r="E53" s="8" t="s">
        <v>236</v>
      </c>
      <c r="F53" s="8" t="s">
        <v>237</v>
      </c>
      <c r="G53" s="8" t="s">
        <v>238</v>
      </c>
      <c r="H53" s="8" t="s">
        <v>186</v>
      </c>
      <c r="I53" s="8" t="s">
        <v>239</v>
      </c>
    </row>
    <row r="54" spans="2:9">
      <c r="B54" s="12"/>
      <c r="C54" s="8"/>
      <c r="D54" s="10"/>
      <c r="E54" s="8"/>
      <c r="F54" s="8"/>
      <c r="G54" s="8"/>
      <c r="H54" s="8"/>
      <c r="I54" s="8"/>
    </row>
    <row r="55" spans="2:9">
      <c r="B55" s="12"/>
      <c r="C55" s="8"/>
      <c r="D55" s="10"/>
      <c r="E55" s="8"/>
      <c r="F55" s="8"/>
      <c r="G55" s="8"/>
      <c r="H55" s="8"/>
      <c r="I55" s="8"/>
    </row>
    <row r="56" spans="2:9">
      <c r="B56" s="12"/>
      <c r="C56" s="8"/>
      <c r="D56" s="10"/>
      <c r="E56" s="8"/>
      <c r="F56" s="8"/>
      <c r="G56" s="8"/>
      <c r="H56" s="8"/>
      <c r="I56" s="8"/>
    </row>
    <row r="57" spans="2:9">
      <c r="B57" s="12"/>
      <c r="C57" s="8"/>
      <c r="D57" s="10"/>
      <c r="E57" s="8"/>
      <c r="F57" s="8"/>
      <c r="G57" s="8"/>
      <c r="H57" s="8"/>
      <c r="I57" s="8"/>
    </row>
    <row r="58" spans="2:9">
      <c r="B58" s="12"/>
      <c r="C58" s="8"/>
      <c r="D58" s="10"/>
      <c r="E58" s="8"/>
      <c r="F58" s="8"/>
      <c r="G58" s="8"/>
      <c r="H58" s="8"/>
      <c r="I58" s="8"/>
    </row>
    <row r="59" spans="2:9">
      <c r="B59" s="12"/>
      <c r="C59" s="8"/>
      <c r="D59" s="10"/>
      <c r="E59" s="8"/>
      <c r="F59" s="8"/>
      <c r="G59" s="8"/>
      <c r="H59" s="8"/>
      <c r="I59" s="8"/>
    </row>
    <row r="60" spans="2:9">
      <c r="B60" s="12"/>
      <c r="C60" s="8"/>
      <c r="D60" s="10"/>
      <c r="E60" s="8"/>
      <c r="F60" s="8"/>
      <c r="G60" s="8"/>
      <c r="H60" s="8"/>
      <c r="I60" s="8"/>
    </row>
    <row r="61" spans="2:9">
      <c r="B61" s="12"/>
      <c r="C61" s="8"/>
      <c r="D61" s="10"/>
      <c r="E61" s="8"/>
      <c r="F61" s="8"/>
      <c r="G61" s="8"/>
      <c r="H61" s="8"/>
      <c r="I61" s="8"/>
    </row>
    <row r="62" spans="2:9">
      <c r="B62" s="12"/>
      <c r="C62" s="8"/>
      <c r="D62" s="10"/>
      <c r="E62" s="8"/>
      <c r="F62" s="8"/>
      <c r="G62" s="8"/>
      <c r="H62" s="8"/>
      <c r="I62" s="8"/>
    </row>
    <row r="63" spans="2:9">
      <c r="B63" s="12"/>
      <c r="C63" s="8"/>
      <c r="D63" s="10"/>
      <c r="E63" s="8"/>
      <c r="F63" s="8"/>
      <c r="G63" s="8"/>
      <c r="H63" s="8"/>
      <c r="I63" s="8"/>
    </row>
    <row r="64" spans="2:9">
      <c r="B64" s="12"/>
      <c r="C64" s="8"/>
      <c r="D64" s="10"/>
      <c r="E64" s="8"/>
      <c r="F64" s="8"/>
      <c r="G64" s="8"/>
      <c r="H64" s="8"/>
      <c r="I64" s="8"/>
    </row>
    <row r="65" spans="2:9">
      <c r="B65" s="12"/>
      <c r="C65" s="8"/>
      <c r="D65" s="10"/>
      <c r="E65" s="8"/>
      <c r="F65" s="8"/>
      <c r="G65" s="8"/>
      <c r="H65" s="8"/>
      <c r="I65" s="8"/>
    </row>
    <row r="66" spans="2:9">
      <c r="B66" s="12"/>
      <c r="C66" s="8"/>
      <c r="D66" s="10"/>
      <c r="E66" s="8"/>
      <c r="F66" s="8"/>
      <c r="G66" s="8"/>
      <c r="H66" s="8"/>
      <c r="I66" s="8"/>
    </row>
    <row r="67" spans="2:9">
      <c r="B67" s="12"/>
      <c r="C67" s="8"/>
      <c r="D67" s="10"/>
      <c r="E67" s="8"/>
      <c r="F67" s="8"/>
      <c r="G67" s="8"/>
      <c r="H67" s="8"/>
      <c r="I67" s="8"/>
    </row>
    <row r="68" spans="2:9">
      <c r="B68" s="12"/>
      <c r="C68" s="8"/>
      <c r="D68" s="10"/>
      <c r="E68" s="8"/>
      <c r="F68" s="8"/>
      <c r="G68" s="8"/>
      <c r="H68" s="8"/>
      <c r="I68" s="8"/>
    </row>
    <row r="69" spans="2:9">
      <c r="B69" s="12"/>
      <c r="C69" s="8"/>
      <c r="D69" s="10"/>
      <c r="E69" s="8"/>
      <c r="F69" s="8"/>
      <c r="G69" s="8"/>
      <c r="H69" s="8"/>
      <c r="I69" s="8"/>
    </row>
    <row r="70" spans="2:9">
      <c r="B70" s="12"/>
      <c r="C70" s="8"/>
      <c r="D70" s="10"/>
      <c r="E70" s="8"/>
      <c r="F70" s="8"/>
      <c r="G70" s="8"/>
      <c r="H70" s="8"/>
      <c r="I70" s="8"/>
    </row>
    <row r="71" spans="2:9">
      <c r="B71" s="12"/>
      <c r="C71" s="8"/>
      <c r="D71" s="10"/>
      <c r="E71" s="8"/>
      <c r="F71" s="8"/>
      <c r="G71" s="8"/>
      <c r="H71" s="8"/>
      <c r="I71" s="8"/>
    </row>
    <row r="72" spans="2:9">
      <c r="B72" s="12"/>
      <c r="C72" s="8"/>
      <c r="D72" s="10"/>
      <c r="E72" s="8"/>
      <c r="F72" s="8"/>
      <c r="G72" s="8"/>
      <c r="H72" s="8"/>
      <c r="I72" s="8"/>
    </row>
    <row r="73" spans="2:9">
      <c r="B73" s="12"/>
      <c r="C73" s="8"/>
      <c r="D73" s="10"/>
      <c r="E73" s="8"/>
      <c r="F73" s="8"/>
      <c r="G73" s="8"/>
      <c r="H73" s="8"/>
      <c r="I73" s="8"/>
    </row>
    <row r="74" spans="2:9">
      <c r="B74" s="12"/>
      <c r="C74" s="8"/>
      <c r="D74" s="10"/>
      <c r="E74" s="8"/>
      <c r="F74" s="8"/>
      <c r="G74" s="8"/>
      <c r="H74" s="8"/>
      <c r="I74" s="8"/>
    </row>
    <row r="75" spans="2:9">
      <c r="B75" s="12"/>
      <c r="C75" s="8"/>
      <c r="D75" s="10"/>
      <c r="E75" s="8"/>
      <c r="F75" s="8"/>
      <c r="G75" s="8"/>
      <c r="H75" s="8"/>
      <c r="I75" s="8"/>
    </row>
    <row r="76" spans="2:9">
      <c r="B76" s="12"/>
      <c r="C76" s="8"/>
      <c r="D76" s="10"/>
      <c r="E76" s="8"/>
      <c r="F76" s="8"/>
      <c r="G76" s="8"/>
      <c r="H76" s="8"/>
      <c r="I76" s="8"/>
    </row>
    <row r="77" spans="2:9">
      <c r="B77" s="12"/>
      <c r="C77" s="8"/>
      <c r="D77" s="10"/>
      <c r="E77" s="8"/>
      <c r="F77" s="8"/>
      <c r="G77" s="8"/>
      <c r="H77" s="8"/>
      <c r="I77" s="8"/>
    </row>
    <row r="78" spans="2:9">
      <c r="B78" s="12"/>
      <c r="C78" s="8"/>
      <c r="D78" s="10"/>
      <c r="E78" s="8"/>
      <c r="F78" s="8"/>
      <c r="G78" s="8"/>
      <c r="H78" s="8"/>
      <c r="I78" s="8"/>
    </row>
    <row r="79" spans="2:9">
      <c r="B79" s="12"/>
      <c r="C79" s="8"/>
      <c r="D79" s="10"/>
      <c r="E79" s="8"/>
      <c r="F79" s="8"/>
      <c r="G79" s="8"/>
      <c r="H79" s="8"/>
      <c r="I79" s="8"/>
    </row>
    <row r="80" spans="2:9">
      <c r="B80" s="12"/>
      <c r="C80" s="8"/>
      <c r="D80" s="10"/>
      <c r="E80" s="8"/>
      <c r="F80" s="8"/>
      <c r="G80" s="8"/>
      <c r="H80" s="8"/>
      <c r="I80" s="8"/>
    </row>
    <row r="81" spans="2:9">
      <c r="B81" s="12"/>
      <c r="C81" s="8"/>
      <c r="D81" s="10"/>
      <c r="E81" s="8"/>
      <c r="F81" s="8"/>
      <c r="G81" s="8"/>
      <c r="H81" s="8"/>
      <c r="I81" s="8"/>
    </row>
    <row r="82" spans="2:9">
      <c r="B82" s="12"/>
      <c r="C82" s="8"/>
      <c r="D82" s="10"/>
      <c r="E82" s="8"/>
      <c r="F82" s="8"/>
      <c r="G82" s="8"/>
      <c r="H82" s="8"/>
      <c r="I82" s="8"/>
    </row>
    <row r="83" spans="2:9">
      <c r="B83" s="12"/>
      <c r="C83" s="8"/>
      <c r="D83" s="10"/>
      <c r="E83" s="8"/>
      <c r="F83" s="8"/>
      <c r="G83" s="8"/>
      <c r="H83" s="8"/>
      <c r="I83" s="8"/>
    </row>
    <row r="84" spans="2:9">
      <c r="B84" s="12"/>
      <c r="C84" s="8"/>
      <c r="D84" s="10"/>
      <c r="E84" s="8"/>
      <c r="F84" s="8"/>
      <c r="G84" s="8"/>
      <c r="H84" s="8"/>
      <c r="I84" s="8"/>
    </row>
    <row r="85" spans="2:9">
      <c r="B85" s="12"/>
      <c r="C85" s="8"/>
      <c r="D85" s="10"/>
      <c r="E85" s="8"/>
      <c r="F85" s="8"/>
      <c r="G85" s="8"/>
      <c r="H85" s="8"/>
      <c r="I85" s="8"/>
    </row>
    <row r="86" spans="2:9">
      <c r="B86" s="12"/>
      <c r="C86" s="8"/>
      <c r="D86" s="10"/>
      <c r="E86" s="8"/>
      <c r="F86" s="8"/>
      <c r="G86" s="8"/>
      <c r="H86" s="8"/>
      <c r="I86" s="8"/>
    </row>
    <row r="87" spans="2:9">
      <c r="B87" s="12"/>
      <c r="C87" s="8"/>
      <c r="D87" s="10"/>
      <c r="E87" s="8"/>
      <c r="F87" s="8"/>
      <c r="G87" s="8"/>
      <c r="H87" s="8"/>
      <c r="I87" s="8"/>
    </row>
    <row r="88" spans="2:9">
      <c r="B88" s="12"/>
      <c r="C88" s="8"/>
      <c r="D88" s="10"/>
      <c r="E88" s="8"/>
      <c r="F88" s="8"/>
      <c r="G88" s="8"/>
      <c r="H88" s="8"/>
      <c r="I88" s="8"/>
    </row>
    <row r="89" spans="2:9">
      <c r="B89" s="12"/>
      <c r="C89" s="8"/>
      <c r="D89" s="10"/>
      <c r="E89" s="8"/>
      <c r="F89" s="8"/>
      <c r="G89" s="8"/>
      <c r="H89" s="8"/>
      <c r="I89" s="8"/>
    </row>
    <row r="90" spans="2:9">
      <c r="B90" s="12"/>
      <c r="C90" s="8"/>
      <c r="D90" s="10"/>
      <c r="E90" s="8"/>
      <c r="F90" s="8"/>
      <c r="G90" s="8"/>
      <c r="H90" s="8"/>
      <c r="I90" s="8"/>
    </row>
    <row r="91" spans="2:9">
      <c r="B91" s="12"/>
      <c r="C91" s="8"/>
      <c r="D91" s="10"/>
      <c r="E91" s="8"/>
      <c r="F91" s="8"/>
      <c r="G91" s="8"/>
      <c r="H91" s="8"/>
      <c r="I91" s="8"/>
    </row>
    <row r="92" spans="2:9">
      <c r="B92" s="12"/>
      <c r="C92" s="8"/>
      <c r="D92" s="10"/>
      <c r="E92" s="8"/>
      <c r="F92" s="8"/>
      <c r="G92" s="8"/>
      <c r="H92" s="8"/>
      <c r="I92" s="8"/>
    </row>
    <row r="93" spans="2:9">
      <c r="B93" s="12"/>
      <c r="C93" s="8"/>
      <c r="D93" s="10"/>
      <c r="E93" s="8"/>
      <c r="F93" s="8"/>
      <c r="G93" s="8"/>
      <c r="H93" s="8"/>
      <c r="I93" s="8"/>
    </row>
    <row r="94" spans="2:9">
      <c r="B94" s="12"/>
      <c r="C94" s="8"/>
      <c r="D94" s="10"/>
      <c r="E94" s="8"/>
      <c r="F94" s="8"/>
      <c r="G94" s="8"/>
      <c r="H94" s="8"/>
      <c r="I94" s="8"/>
    </row>
    <row r="95" spans="2:9">
      <c r="B95" s="12"/>
      <c r="C95" s="8"/>
      <c r="D95" s="10"/>
      <c r="E95" s="8"/>
      <c r="F95" s="8"/>
      <c r="G95" s="8"/>
      <c r="H95" s="8"/>
      <c r="I95" s="8"/>
    </row>
    <row r="96" spans="2:9">
      <c r="B96" s="12"/>
      <c r="C96" s="8"/>
      <c r="D96" s="10"/>
      <c r="E96" s="8"/>
      <c r="F96" s="8"/>
      <c r="G96" s="8"/>
      <c r="H96" s="8"/>
      <c r="I96" s="8"/>
    </row>
    <row r="97" spans="2:9">
      <c r="B97" s="12"/>
      <c r="C97" s="8"/>
      <c r="D97" s="10"/>
      <c r="E97" s="8"/>
      <c r="F97" s="8"/>
      <c r="G97" s="8"/>
      <c r="H97" s="8"/>
      <c r="I97" s="8"/>
    </row>
    <row r="98" spans="2:9">
      <c r="B98" s="12"/>
      <c r="C98" s="8"/>
      <c r="D98" s="10"/>
      <c r="E98" s="8"/>
      <c r="F98" s="8"/>
      <c r="G98" s="8"/>
      <c r="H98" s="8"/>
      <c r="I98" s="8"/>
    </row>
    <row r="99" spans="2:9">
      <c r="B99" s="12"/>
      <c r="C99" s="8"/>
      <c r="D99" s="10"/>
      <c r="E99" s="8"/>
      <c r="F99" s="8"/>
      <c r="G99" s="8"/>
      <c r="H99" s="8"/>
      <c r="I99" s="8"/>
    </row>
    <row r="100" spans="2:9">
      <c r="B100" s="12"/>
      <c r="C100" s="8"/>
      <c r="D100" s="10"/>
      <c r="E100" s="8"/>
      <c r="F100" s="8"/>
      <c r="G100" s="8"/>
      <c r="H100" s="8"/>
      <c r="I100" s="8"/>
    </row>
    <row r="101" spans="2:9">
      <c r="B101" s="12"/>
      <c r="C101" s="8"/>
      <c r="D101" s="10"/>
      <c r="E101" s="8"/>
      <c r="F101" s="8"/>
      <c r="G101" s="8"/>
      <c r="H101" s="8"/>
      <c r="I101" s="8"/>
    </row>
    <row r="102" spans="2:9">
      <c r="B102" s="12"/>
      <c r="C102" s="8"/>
      <c r="D102" s="10"/>
      <c r="E102" s="8"/>
      <c r="F102" s="8"/>
      <c r="G102" s="8"/>
      <c r="H102" s="8"/>
      <c r="I102" s="8"/>
    </row>
    <row r="103" spans="2:9">
      <c r="B103" s="12"/>
      <c r="C103" s="8"/>
      <c r="D103" s="10"/>
      <c r="E103" s="8"/>
      <c r="F103" s="8"/>
      <c r="G103" s="8"/>
      <c r="H103" s="8"/>
      <c r="I103" s="8"/>
    </row>
    <row r="104" spans="2:9">
      <c r="B104" s="12"/>
      <c r="C104" s="8"/>
      <c r="D104" s="10"/>
      <c r="E104" s="8"/>
      <c r="F104" s="8"/>
      <c r="G104" s="8"/>
      <c r="H104" s="8"/>
      <c r="I104" s="8"/>
    </row>
    <row r="105" spans="2:9">
      <c r="B105" s="12"/>
      <c r="C105" s="8"/>
      <c r="D105" s="10"/>
      <c r="E105" s="8"/>
      <c r="F105" s="8"/>
      <c r="G105" s="8"/>
      <c r="H105" s="8"/>
      <c r="I105" s="8"/>
    </row>
    <row r="106" spans="2:9">
      <c r="B106" s="12"/>
      <c r="C106" s="8"/>
      <c r="D106" s="10"/>
      <c r="E106" s="8"/>
      <c r="F106" s="8"/>
      <c r="G106" s="8"/>
      <c r="H106" s="8"/>
      <c r="I106" s="8"/>
    </row>
    <row r="107" spans="2:9">
      <c r="B107" s="12"/>
      <c r="C107" s="8"/>
      <c r="D107" s="10"/>
      <c r="E107" s="8"/>
      <c r="F107" s="8"/>
      <c r="G107" s="8"/>
      <c r="H107" s="8"/>
      <c r="I107" s="8"/>
    </row>
    <row r="108" spans="2:9">
      <c r="B108" s="12"/>
      <c r="C108" s="8"/>
      <c r="D108" s="10"/>
      <c r="E108" s="8"/>
      <c r="F108" s="8"/>
      <c r="G108" s="8"/>
      <c r="H108" s="8"/>
      <c r="I108" s="8"/>
    </row>
    <row r="109" spans="2:9">
      <c r="B109" s="12"/>
      <c r="C109" s="8"/>
      <c r="D109" s="10"/>
      <c r="E109" s="8"/>
      <c r="F109" s="8"/>
      <c r="G109" s="8"/>
      <c r="H109" s="8"/>
      <c r="I109" s="8"/>
    </row>
    <row r="110" spans="2:9">
      <c r="B110" s="12"/>
      <c r="C110" s="8"/>
      <c r="D110" s="10"/>
      <c r="E110" s="8"/>
      <c r="F110" s="8"/>
      <c r="G110" s="8"/>
      <c r="H110" s="8"/>
      <c r="I110" s="8"/>
    </row>
    <row r="111" spans="2:9">
      <c r="B111" s="12"/>
      <c r="C111" s="8"/>
      <c r="D111" s="10"/>
      <c r="E111" s="8"/>
      <c r="F111" s="8"/>
      <c r="G111" s="8"/>
      <c r="H111" s="8"/>
      <c r="I111" s="8"/>
    </row>
    <row r="112" spans="2:9">
      <c r="B112" s="12"/>
      <c r="C112" s="8"/>
      <c r="D112" s="10"/>
      <c r="E112" s="8"/>
      <c r="F112" s="8"/>
      <c r="G112" s="8"/>
      <c r="H112" s="8"/>
      <c r="I112" s="8"/>
    </row>
    <row r="113" spans="2:9">
      <c r="B113" s="12"/>
      <c r="C113" s="8"/>
      <c r="D113" s="10"/>
      <c r="E113" s="8"/>
      <c r="F113" s="8"/>
      <c r="G113" s="8"/>
      <c r="H113" s="8"/>
      <c r="I113" s="8"/>
    </row>
    <row r="114" spans="2:9">
      <c r="B114" s="12"/>
      <c r="C114" s="8"/>
      <c r="D114" s="10"/>
      <c r="E114" s="8"/>
      <c r="F114" s="8"/>
      <c r="G114" s="8"/>
      <c r="H114" s="8"/>
      <c r="I114" s="8"/>
    </row>
    <row r="115" spans="2:9">
      <c r="B115" s="12"/>
      <c r="C115" s="8"/>
      <c r="D115" s="10"/>
      <c r="E115" s="8"/>
      <c r="F115" s="8"/>
      <c r="G115" s="8"/>
      <c r="H115" s="8"/>
      <c r="I115" s="8"/>
    </row>
    <row r="116" spans="2:9">
      <c r="B116" s="12"/>
      <c r="C116" s="8"/>
      <c r="D116" s="10"/>
      <c r="E116" s="8"/>
      <c r="F116" s="8"/>
      <c r="G116" s="8"/>
      <c r="H116" s="8"/>
      <c r="I116" s="8"/>
    </row>
    <row r="117" spans="2:9">
      <c r="B117" s="12"/>
      <c r="C117" s="8"/>
      <c r="D117" s="10"/>
      <c r="E117" s="8"/>
      <c r="F117" s="8"/>
      <c r="G117" s="8"/>
      <c r="H117" s="8"/>
      <c r="I117" s="8"/>
    </row>
    <row r="118" spans="2:9">
      <c r="B118" s="12"/>
      <c r="C118" s="8"/>
      <c r="D118" s="10"/>
      <c r="E118" s="8"/>
      <c r="F118" s="8"/>
      <c r="G118" s="8"/>
      <c r="H118" s="8"/>
      <c r="I118" s="8"/>
    </row>
    <row r="119" spans="2:9">
      <c r="B119" s="12"/>
      <c r="C119" s="8"/>
      <c r="D119" s="10"/>
      <c r="E119" s="8"/>
      <c r="F119" s="8"/>
      <c r="G119" s="8"/>
      <c r="H119" s="8"/>
      <c r="I119" s="8"/>
    </row>
    <row r="120" spans="2:9">
      <c r="B120" s="12"/>
      <c r="C120" s="8"/>
      <c r="D120" s="10"/>
      <c r="E120" s="8"/>
      <c r="F120" s="8"/>
      <c r="G120" s="8"/>
      <c r="H120" s="8"/>
      <c r="I120" s="8"/>
    </row>
    <row r="121" spans="2:9">
      <c r="B121" s="12"/>
      <c r="C121" s="8"/>
      <c r="D121" s="10"/>
      <c r="E121" s="8"/>
      <c r="F121" s="8"/>
      <c r="G121" s="8"/>
      <c r="H121" s="8"/>
      <c r="I121" s="8"/>
    </row>
    <row r="122" spans="2:9">
      <c r="B122" s="12"/>
      <c r="C122" s="8"/>
      <c r="D122" s="10"/>
      <c r="E122" s="8"/>
      <c r="F122" s="8"/>
      <c r="G122" s="8"/>
      <c r="H122" s="8"/>
      <c r="I122" s="8"/>
    </row>
    <row r="123" spans="2:9">
      <c r="B123" s="12"/>
      <c r="C123" s="8"/>
      <c r="D123" s="10"/>
      <c r="E123" s="8"/>
      <c r="F123" s="8"/>
      <c r="G123" s="8"/>
      <c r="H123" s="8"/>
      <c r="I123" s="8"/>
    </row>
    <row r="124" spans="2:9">
      <c r="B124" s="12"/>
      <c r="C124" s="8"/>
      <c r="D124" s="10"/>
      <c r="E124" s="8"/>
      <c r="F124" s="8"/>
      <c r="G124" s="8"/>
      <c r="H124" s="8"/>
      <c r="I124" s="8"/>
    </row>
    <row r="125" spans="2:9">
      <c r="B125" s="12"/>
      <c r="C125" s="8"/>
      <c r="D125" s="10"/>
      <c r="E125" s="8"/>
      <c r="F125" s="8"/>
      <c r="G125" s="8"/>
      <c r="H125" s="8"/>
      <c r="I125" s="8"/>
    </row>
    <row r="126" spans="2:9">
      <c r="B126" s="12"/>
      <c r="C126" s="8"/>
      <c r="D126" s="10"/>
      <c r="E126" s="8"/>
      <c r="F126" s="8"/>
      <c r="G126" s="8"/>
      <c r="H126" s="8"/>
      <c r="I126" s="8"/>
    </row>
    <row r="127" spans="2:9">
      <c r="B127" s="12"/>
      <c r="C127" s="8"/>
      <c r="D127" s="10"/>
      <c r="E127" s="8"/>
      <c r="F127" s="8"/>
      <c r="G127" s="8"/>
      <c r="H127" s="8"/>
      <c r="I127" s="8"/>
    </row>
    <row r="128" spans="2:9">
      <c r="B128" s="12"/>
      <c r="C128" s="8"/>
      <c r="D128" s="10"/>
      <c r="E128" s="8"/>
      <c r="F128" s="8"/>
      <c r="G128" s="8"/>
      <c r="H128" s="8"/>
      <c r="I128" s="8"/>
    </row>
    <row r="129" spans="2:9">
      <c r="B129" s="12"/>
      <c r="C129" s="8"/>
      <c r="D129" s="10"/>
      <c r="E129" s="8"/>
      <c r="F129" s="8"/>
      <c r="G129" s="8"/>
      <c r="H129" s="8"/>
      <c r="I129" s="8"/>
    </row>
    <row r="130" spans="2:9">
      <c r="B130" s="12"/>
      <c r="C130" s="8"/>
      <c r="D130" s="10"/>
      <c r="E130" s="8"/>
      <c r="F130" s="8"/>
      <c r="G130" s="8"/>
      <c r="H130" s="8"/>
      <c r="I130" s="8"/>
    </row>
    <row r="131" spans="2:9">
      <c r="B131" s="12"/>
      <c r="C131" s="8"/>
      <c r="D131" s="10"/>
      <c r="E131" s="8"/>
      <c r="F131" s="8"/>
      <c r="G131" s="8"/>
      <c r="H131" s="8"/>
      <c r="I131" s="8"/>
    </row>
    <row r="132" spans="2:9">
      <c r="B132" s="12"/>
      <c r="C132" s="8"/>
      <c r="D132" s="10"/>
      <c r="E132" s="8"/>
      <c r="F132" s="8"/>
      <c r="G132" s="8"/>
      <c r="H132" s="8"/>
      <c r="I132" s="8"/>
    </row>
    <row r="133" spans="2:9">
      <c r="B133" s="12"/>
      <c r="C133" s="8"/>
      <c r="D133" s="10"/>
      <c r="E133" s="8"/>
      <c r="F133" s="8"/>
      <c r="G133" s="8"/>
      <c r="H133" s="8"/>
      <c r="I133" s="8"/>
    </row>
    <row r="134" spans="2:9">
      <c r="B134" s="12"/>
      <c r="C134" s="8"/>
      <c r="D134" s="10"/>
      <c r="E134" s="8"/>
      <c r="F134" s="8"/>
      <c r="G134" s="8"/>
      <c r="H134" s="8"/>
      <c r="I134" s="8"/>
    </row>
    <row r="135" spans="2:9">
      <c r="B135" s="12"/>
      <c r="C135" s="8"/>
      <c r="D135" s="10"/>
      <c r="E135" s="8"/>
      <c r="F135" s="8"/>
      <c r="G135" s="8"/>
      <c r="H135" s="8"/>
      <c r="I135" s="8"/>
    </row>
    <row r="136" spans="2:9">
      <c r="B136" s="12"/>
      <c r="C136" s="8"/>
      <c r="D136" s="10"/>
      <c r="E136" s="8"/>
      <c r="F136" s="8"/>
      <c r="G136" s="8"/>
      <c r="H136" s="8"/>
      <c r="I136" s="8"/>
    </row>
    <row r="137" spans="2:9">
      <c r="B137" s="12"/>
      <c r="C137" s="8"/>
      <c r="D137" s="10"/>
      <c r="E137" s="8"/>
      <c r="F137" s="8"/>
      <c r="G137" s="8"/>
      <c r="H137" s="8"/>
      <c r="I137" s="8"/>
    </row>
    <row r="138" spans="2:9">
      <c r="B138" s="12"/>
      <c r="C138" s="8"/>
      <c r="D138" s="10"/>
      <c r="E138" s="8"/>
      <c r="F138" s="8"/>
      <c r="G138" s="8"/>
      <c r="H138" s="8"/>
      <c r="I138" s="8"/>
    </row>
    <row r="139" spans="2:9">
      <c r="B139" s="12"/>
      <c r="C139" s="8"/>
      <c r="D139" s="10"/>
      <c r="E139" s="8"/>
      <c r="F139" s="8"/>
      <c r="G139" s="8"/>
      <c r="H139" s="8"/>
      <c r="I139" s="8"/>
    </row>
    <row r="140" spans="2:9">
      <c r="B140" s="12"/>
      <c r="C140" s="8"/>
      <c r="D140" s="10"/>
      <c r="E140" s="8"/>
      <c r="F140" s="8"/>
      <c r="G140" s="8"/>
      <c r="H140" s="8"/>
      <c r="I140" s="8"/>
    </row>
    <row r="141" spans="2:9">
      <c r="B141" s="12"/>
      <c r="C141" s="8"/>
      <c r="D141" s="10"/>
      <c r="E141" s="8"/>
      <c r="F141" s="8"/>
      <c r="G141" s="8"/>
      <c r="H141" s="8"/>
      <c r="I141" s="8"/>
    </row>
    <row r="142" spans="2:9">
      <c r="B142" s="12"/>
      <c r="C142" s="8"/>
      <c r="D142" s="10"/>
      <c r="E142" s="8"/>
      <c r="F142" s="8"/>
      <c r="G142" s="8"/>
      <c r="H142" s="8"/>
      <c r="I142" s="8"/>
    </row>
    <row r="143" spans="2:9">
      <c r="B143" s="12"/>
      <c r="C143" s="8"/>
      <c r="D143" s="10"/>
      <c r="E143" s="8"/>
      <c r="F143" s="8"/>
      <c r="G143" s="8"/>
      <c r="H143" s="8"/>
      <c r="I143" s="8"/>
    </row>
    <row r="144" spans="2:9">
      <c r="B144" s="12"/>
      <c r="C144" s="8"/>
      <c r="D144" s="10"/>
      <c r="E144" s="8"/>
      <c r="F144" s="8"/>
      <c r="G144" s="8"/>
      <c r="H144" s="8"/>
      <c r="I144" s="8"/>
    </row>
    <row r="145" spans="2:9">
      <c r="B145" s="12"/>
      <c r="C145" s="8"/>
      <c r="D145" s="10"/>
      <c r="E145" s="8"/>
      <c r="F145" s="8"/>
      <c r="G145" s="8"/>
      <c r="H145" s="8"/>
      <c r="I145" s="8"/>
    </row>
    <row r="146" spans="2:9">
      <c r="B146" s="12"/>
      <c r="C146" s="8"/>
      <c r="D146" s="10"/>
      <c r="E146" s="8"/>
      <c r="F146" s="8"/>
      <c r="G146" s="8"/>
      <c r="H146" s="8"/>
      <c r="I146" s="8"/>
    </row>
    <row r="147" spans="2:9">
      <c r="B147" s="12"/>
      <c r="C147" s="8"/>
      <c r="D147" s="10"/>
      <c r="E147" s="8"/>
      <c r="F147" s="8"/>
      <c r="G147" s="8"/>
      <c r="H147" s="8"/>
      <c r="I147" s="8"/>
    </row>
    <row r="148" spans="2:9">
      <c r="B148" s="12"/>
      <c r="C148" s="8"/>
      <c r="D148" s="10"/>
      <c r="E148" s="8"/>
      <c r="F148" s="8"/>
      <c r="G148" s="8"/>
      <c r="H148" s="8"/>
      <c r="I148" s="8"/>
    </row>
    <row r="149" spans="2:9">
      <c r="B149" s="12"/>
      <c r="C149" s="8"/>
      <c r="D149" s="10"/>
      <c r="E149" s="8"/>
      <c r="F149" s="8"/>
      <c r="G149" s="8"/>
      <c r="H149" s="8"/>
      <c r="I149" s="8"/>
    </row>
    <row r="150" spans="2:9">
      <c r="B150" s="12"/>
      <c r="C150" s="8"/>
      <c r="D150" s="10"/>
      <c r="E150" s="8"/>
      <c r="F150" s="8"/>
      <c r="G150" s="8"/>
      <c r="H150" s="8"/>
      <c r="I150" s="8"/>
    </row>
    <row r="151" spans="2:9">
      <c r="B151" s="12"/>
      <c r="C151" s="8"/>
      <c r="D151" s="10"/>
      <c r="E151" s="8"/>
      <c r="F151" s="8"/>
      <c r="G151" s="8"/>
      <c r="H151" s="8"/>
      <c r="I151" s="8"/>
    </row>
    <row r="152" spans="2:9">
      <c r="B152" s="12"/>
      <c r="C152" s="8"/>
      <c r="D152" s="10"/>
      <c r="E152" s="8"/>
      <c r="F152" s="8"/>
      <c r="G152" s="8"/>
      <c r="H152" s="8"/>
      <c r="I152" s="8"/>
    </row>
    <row r="153" spans="2:9">
      <c r="B153" s="12"/>
      <c r="C153" s="8"/>
      <c r="D153" s="10"/>
      <c r="E153" s="8"/>
      <c r="F153" s="8"/>
      <c r="G153" s="8"/>
      <c r="H153" s="8"/>
      <c r="I153" s="8"/>
    </row>
    <row r="154" spans="2:9">
      <c r="B154" s="12"/>
      <c r="C154" s="8"/>
      <c r="D154" s="10"/>
      <c r="E154" s="8"/>
      <c r="F154" s="8"/>
      <c r="G154" s="8"/>
      <c r="H154" s="8"/>
      <c r="I154" s="8"/>
    </row>
    <row r="155" spans="2:9">
      <c r="B155" s="12"/>
      <c r="C155" s="8"/>
      <c r="D155" s="10"/>
      <c r="E155" s="8"/>
      <c r="F155" s="8"/>
      <c r="G155" s="8"/>
      <c r="H155" s="8"/>
      <c r="I155" s="8"/>
    </row>
    <row r="156" spans="2:9">
      <c r="B156" s="12"/>
      <c r="C156" s="8"/>
      <c r="D156" s="10"/>
      <c r="E156" s="8"/>
      <c r="F156" s="8"/>
      <c r="G156" s="8"/>
      <c r="H156" s="8"/>
      <c r="I156" s="8"/>
    </row>
    <row r="157" spans="2:9">
      <c r="B157" s="12"/>
      <c r="C157" s="8"/>
      <c r="D157" s="10"/>
      <c r="E157" s="8"/>
      <c r="F157" s="8"/>
      <c r="G157" s="8"/>
      <c r="H157" s="8"/>
      <c r="I157" s="8"/>
    </row>
    <row r="158" spans="2:9">
      <c r="B158" s="12"/>
      <c r="C158" s="8"/>
      <c r="D158" s="10"/>
      <c r="E158" s="8"/>
      <c r="F158" s="8"/>
      <c r="G158" s="8"/>
      <c r="H158" s="8"/>
      <c r="I158" s="8"/>
    </row>
    <row r="159" spans="2:9">
      <c r="B159" s="12"/>
      <c r="C159" s="8"/>
      <c r="D159" s="10"/>
      <c r="E159" s="8"/>
      <c r="F159" s="8"/>
      <c r="G159" s="8"/>
      <c r="H159" s="8"/>
      <c r="I159" s="8"/>
    </row>
    <row r="160" spans="2:9">
      <c r="B160" s="12"/>
      <c r="C160" s="8"/>
      <c r="D160" s="10"/>
      <c r="E160" s="8"/>
      <c r="F160" s="8"/>
      <c r="G160" s="8"/>
      <c r="H160" s="8"/>
      <c r="I160" s="8"/>
    </row>
    <row r="161" spans="2:9">
      <c r="B161" s="12"/>
      <c r="C161" s="8"/>
      <c r="D161" s="10"/>
      <c r="E161" s="8"/>
      <c r="F161" s="8"/>
      <c r="G161" s="8"/>
      <c r="H161" s="8"/>
      <c r="I161" s="8"/>
    </row>
    <row r="162" spans="2:9">
      <c r="B162" s="12"/>
      <c r="C162" s="8"/>
      <c r="D162" s="10"/>
      <c r="E162" s="8"/>
      <c r="F162" s="8"/>
      <c r="G162" s="8"/>
      <c r="H162" s="8"/>
      <c r="I162" s="8"/>
    </row>
    <row r="163" spans="2:9">
      <c r="B163" s="12"/>
      <c r="C163" s="8"/>
      <c r="D163" s="10"/>
      <c r="E163" s="8"/>
      <c r="F163" s="8"/>
      <c r="G163" s="8"/>
      <c r="H163" s="8"/>
      <c r="I163" s="8"/>
    </row>
    <row r="164" spans="2:9">
      <c r="B164" s="12"/>
      <c r="C164" s="8"/>
      <c r="D164" s="10"/>
      <c r="E164" s="8"/>
      <c r="F164" s="8"/>
      <c r="G164" s="8"/>
      <c r="H164" s="8"/>
      <c r="I164" s="8"/>
    </row>
    <row r="165" spans="2:9">
      <c r="B165" s="12"/>
      <c r="C165" s="8"/>
      <c r="D165" s="10"/>
      <c r="E165" s="8"/>
      <c r="F165" s="8"/>
      <c r="G165" s="8"/>
      <c r="H165" s="8"/>
      <c r="I165" s="8"/>
    </row>
    <row r="166" spans="2:9">
      <c r="B166" s="12"/>
      <c r="C166" s="8"/>
      <c r="D166" s="10"/>
      <c r="E166" s="8"/>
      <c r="F166" s="8"/>
      <c r="G166" s="8"/>
      <c r="H166" s="8"/>
      <c r="I166" s="8"/>
    </row>
    <row r="167" spans="2:9">
      <c r="B167" s="12"/>
      <c r="C167" s="8"/>
      <c r="D167" s="10"/>
      <c r="E167" s="8"/>
      <c r="F167" s="8"/>
      <c r="G167" s="8"/>
      <c r="H167" s="8"/>
      <c r="I167" s="8"/>
    </row>
    <row r="168" spans="2:9">
      <c r="B168" s="12"/>
      <c r="C168" s="8"/>
      <c r="D168" s="10"/>
      <c r="E168" s="8"/>
      <c r="F168" s="8"/>
      <c r="G168" s="8"/>
      <c r="H168" s="8"/>
      <c r="I168" s="8"/>
    </row>
    <row r="169" spans="2:9">
      <c r="B169" s="12"/>
      <c r="C169" s="8"/>
      <c r="D169" s="10"/>
      <c r="E169" s="8"/>
      <c r="F169" s="8"/>
      <c r="G169" s="8"/>
      <c r="H169" s="8"/>
      <c r="I169" s="8"/>
    </row>
    <row r="170" spans="2:9">
      <c r="B170" s="12"/>
      <c r="C170" s="8"/>
      <c r="D170" s="10"/>
      <c r="E170" s="8"/>
      <c r="F170" s="8"/>
      <c r="G170" s="8"/>
      <c r="H170" s="8"/>
      <c r="I170" s="8"/>
    </row>
    <row r="171" spans="2:9">
      <c r="B171" s="12"/>
      <c r="C171" s="8"/>
      <c r="D171" s="10"/>
      <c r="E171" s="8"/>
      <c r="F171" s="8"/>
      <c r="G171" s="8"/>
      <c r="H171" s="8"/>
      <c r="I171" s="8"/>
    </row>
    <row r="172" spans="2:9">
      <c r="B172" s="12"/>
      <c r="C172" s="8"/>
      <c r="D172" s="10"/>
      <c r="E172" s="8"/>
      <c r="F172" s="8"/>
      <c r="G172" s="8"/>
      <c r="H172" s="8"/>
      <c r="I172" s="8"/>
    </row>
    <row r="173" spans="2:9">
      <c r="B173" s="12"/>
      <c r="C173" s="8"/>
      <c r="D173" s="10"/>
      <c r="E173" s="8"/>
      <c r="F173" s="8"/>
      <c r="G173" s="8"/>
      <c r="H173" s="8"/>
      <c r="I173" s="8"/>
    </row>
    <row r="174" spans="2:9">
      <c r="B174" s="12"/>
      <c r="C174" s="8"/>
      <c r="D174" s="10"/>
      <c r="E174" s="8"/>
      <c r="F174" s="8"/>
      <c r="G174" s="8"/>
      <c r="H174" s="8"/>
      <c r="I174" s="8"/>
    </row>
    <row r="175" spans="2:9">
      <c r="B175" s="12"/>
      <c r="C175" s="8"/>
      <c r="D175" s="10"/>
      <c r="E175" s="8"/>
      <c r="F175" s="8"/>
      <c r="G175" s="8"/>
      <c r="H175" s="8"/>
      <c r="I175" s="8"/>
    </row>
    <row r="176" spans="2:9">
      <c r="B176" s="12"/>
      <c r="C176" s="8"/>
      <c r="D176" s="10"/>
      <c r="E176" s="8"/>
      <c r="F176" s="8"/>
      <c r="G176" s="8"/>
      <c r="H176" s="8"/>
      <c r="I176" s="8"/>
    </row>
    <row r="177" spans="2:9">
      <c r="B177" s="12"/>
      <c r="C177" s="8"/>
      <c r="D177" s="10"/>
      <c r="E177" s="8"/>
      <c r="F177" s="8"/>
      <c r="G177" s="8"/>
      <c r="H177" s="8"/>
      <c r="I177" s="8"/>
    </row>
    <row r="178" spans="2:9">
      <c r="B178" s="12"/>
      <c r="C178" s="8"/>
      <c r="D178" s="10"/>
      <c r="E178" s="8"/>
      <c r="F178" s="8"/>
      <c r="G178" s="8"/>
      <c r="H178" s="8"/>
      <c r="I178" s="8"/>
    </row>
    <row r="179" spans="2:9">
      <c r="B179" s="12"/>
      <c r="C179" s="8"/>
      <c r="D179" s="10"/>
      <c r="E179" s="8"/>
      <c r="F179" s="8"/>
      <c r="G179" s="8"/>
      <c r="H179" s="8"/>
      <c r="I179" s="8"/>
    </row>
    <row r="180" spans="2:9">
      <c r="B180" s="12"/>
      <c r="C180" s="8"/>
      <c r="D180" s="10"/>
      <c r="E180" s="8"/>
      <c r="F180" s="8"/>
      <c r="G180" s="8"/>
      <c r="H180" s="8"/>
      <c r="I180" s="8"/>
    </row>
    <row r="181" spans="2:9">
      <c r="B181" s="12"/>
      <c r="C181" s="8"/>
      <c r="D181" s="10"/>
      <c r="E181" s="8"/>
      <c r="F181" s="8"/>
      <c r="G181" s="8"/>
      <c r="H181" s="8"/>
      <c r="I181" s="8"/>
    </row>
    <row r="182" spans="2:9">
      <c r="B182" s="12"/>
      <c r="C182" s="8"/>
      <c r="D182" s="10"/>
      <c r="E182" s="8"/>
      <c r="F182" s="8"/>
      <c r="G182" s="8"/>
      <c r="H182" s="8"/>
      <c r="I182" s="8"/>
    </row>
    <row r="183" spans="2:9">
      <c r="B183" s="12"/>
      <c r="C183" s="8"/>
      <c r="D183" s="10"/>
      <c r="E183" s="8"/>
      <c r="F183" s="8"/>
      <c r="G183" s="8"/>
      <c r="H183" s="8"/>
      <c r="I183" s="8"/>
    </row>
    <row r="184" spans="2:9">
      <c r="B184" s="12"/>
      <c r="C184" s="8"/>
      <c r="D184" s="10"/>
      <c r="E184" s="8"/>
      <c r="F184" s="8"/>
      <c r="G184" s="8"/>
      <c r="H184" s="8"/>
      <c r="I184" s="8"/>
    </row>
    <row r="185" spans="2:9">
      <c r="B185" s="12"/>
      <c r="C185" s="8"/>
      <c r="D185" s="10"/>
      <c r="E185" s="8"/>
      <c r="F185" s="8"/>
      <c r="G185" s="8"/>
      <c r="H185" s="8"/>
      <c r="I185" s="8"/>
    </row>
  </sheetData>
  <mergeCells count="1">
    <mergeCell ref="B1:H1"/>
  </mergeCells>
  <phoneticPr fontId="5" type="noConversion"/>
  <conditionalFormatting sqref="B3:H44 B45:D47 E46:H46 F47:H47">
    <cfRule type="expression" dxfId="5" priority="12">
      <formula>MOD(ROW(),2)=0</formula>
    </cfRule>
  </conditionalFormatting>
  <conditionalFormatting sqref="B48:H185">
    <cfRule type="expression" dxfId="4" priority="1">
      <formula>MOD(ROW(),2)=0</formula>
    </cfRule>
  </conditionalFormatting>
  <conditionalFormatting sqref="I48">
    <cfRule type="expression" dxfId="3" priority="10">
      <formula>MOD(ROW(),2)=0</formula>
    </cfRule>
  </conditionalFormatting>
  <conditionalFormatting sqref="I50">
    <cfRule type="expression" dxfId="2" priority="11">
      <formula>MOD(ROW(),2)=0</formula>
    </cfRule>
  </conditionalFormatting>
  <conditionalFormatting sqref="I52 I56 I60 I64 I69 I73 I77 I81 I86 I90 I95 I99 I103 I107 I112 I116 I120 I124 I127 I131 I135 I139 I144 I148 I152 I156 I161 I165 I167 I171 I175 I179 I184">
    <cfRule type="expression" dxfId="1" priority="7">
      <formula>MOD(ROW(),2)=0</formula>
    </cfRule>
  </conditionalFormatting>
  <conditionalFormatting sqref="I54 I58 I62 I66 I71 I75 I79 I83 I88 I92 I97 I101 I105 I109 I114 I118 I122 I129 I133 I137 I141 I146 I150 I154 I158 I163 I169 I173 I177 I181">
    <cfRule type="expression" dxfId="0" priority="4">
      <formula>MOD(ROW(),2)=0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AI Usage Register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ethan lindsay</dc:creator>
  <cp:lastModifiedBy>ethan lindsay</cp:lastModifiedBy>
  <dcterms:created xsi:type="dcterms:W3CDTF">2026-09-08T21:43:35Z</dcterms:created>
  <dcterms:modified xsi:type="dcterms:W3CDTF">2026-09-30T20:21:15Z</dcterms:modified>
</cp:coreProperties>
</file>