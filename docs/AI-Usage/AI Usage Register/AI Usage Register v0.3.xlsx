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4c906530d9ff38bc/Desktop/SEN381/Ticketing-System/docs/AI-Usage/AI Usage Register/"/>
    </mc:Choice>
  </mc:AlternateContent>
  <xr:revisionPtr revIDLastSave="39" documentId="13_ncr:1_{60E7AE79-4618-4BF0-9238-AF7795BE5308}" xr6:coauthVersionLast="47" xr6:coauthVersionMax="47" xr10:uidLastSave="{78636C9E-7F60-4274-B590-C77D893ECCDC}"/>
  <bookViews>
    <workbookView xWindow="-108" yWindow="-108" windowWidth="30936" windowHeight="17496" xr2:uid="{5AB626C0-9419-4ED9-8516-202D1A580094}"/>
  </bookViews>
  <sheets>
    <sheet name="AI Usage Register"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6" i="1" l="1"/>
  <c r="B15" i="1"/>
  <c r="B14" i="1"/>
  <c r="B13" i="1"/>
  <c r="B12" i="1"/>
  <c r="B11" i="1"/>
  <c r="B10" i="1"/>
  <c r="B9" i="1"/>
  <c r="B8" i="1"/>
  <c r="B7" i="1"/>
  <c r="B6" i="1"/>
  <c r="B5" i="1"/>
  <c r="B4" i="1"/>
  <c r="B3" i="1"/>
</calcChain>
</file>

<file path=xl/sharedStrings.xml><?xml version="1.0" encoding="utf-8"?>
<sst xmlns="http://schemas.openxmlformats.org/spreadsheetml/2006/main" count="162" uniqueCount="110">
  <si>
    <t>Date</t>
  </si>
  <si>
    <t>Student</t>
  </si>
  <si>
    <t>Tool</t>
  </si>
  <si>
    <t>Engineering Task</t>
  </si>
  <si>
    <t>AI Contribution</t>
  </si>
  <si>
    <t>Verification</t>
  </si>
  <si>
    <t>Decision</t>
  </si>
  <si>
    <t>AI Usage Register</t>
  </si>
  <si>
    <t>Ethan Lindsay</t>
  </si>
  <si>
    <t>Claude</t>
  </si>
  <si>
    <t>Stakeholder identification for campus context</t>
  </si>
  <si>
    <t>Proposed possible stakeholder roles assosiated with a system like this</t>
  </si>
  <si>
    <t>Compared each againts the Master Brief s.2 and s.3 capability groups and verified that the proposed rolls are valid positions.</t>
  </si>
  <si>
    <t xml:space="preserve">Accepted with changes to some of the suggested roles. </t>
  </si>
  <si>
    <t>Stakeholder conflict analysis</t>
  </si>
  <si>
    <t>Scope baseline classification</t>
  </si>
  <si>
    <t>Constraints analysis</t>
  </si>
  <si>
    <t>Problem &amp; business need section</t>
  </si>
  <si>
    <t>Drafted 4 conflicts with proposed resolutions</t>
  </si>
  <si>
    <t>Drafted 20 scope items across in/out/deferred with justifications</t>
  </si>
  <si>
    <t>Drafted 8 constraints with engineering implications</t>
  </si>
  <si>
    <t>Drafted PED section 2</t>
  </si>
  <si>
    <t>Team reviewed and agreed resolutions on 07/09/2026</t>
  </si>
  <si>
    <t>Accepted with corrections and additions to conflicts given verbally.</t>
  </si>
  <si>
    <t>Checked every IN SCOPE item traces to a Master Brief s.3 capability</t>
  </si>
  <si>
    <t>Accepted and ensured that all given items were actually in scope and viable.</t>
  </si>
  <si>
    <t>Verified each against Master Brief s.4, s.18, s.25; independently confirmed POPIA applicability and cited the Act</t>
  </si>
  <si>
    <t>Accepted, Verified time , cost and resource constraints fit the the system we are planning to develop.</t>
  </si>
  <si>
    <t>Verified that the content made logical sense with reguards to the project brief and ensured that the all expectations have been met for this document.</t>
  </si>
  <si>
    <t>Accepted with deep analysis.</t>
  </si>
  <si>
    <t>Redesign Spread sheets</t>
  </si>
  <si>
    <t xml:space="preserve">Reorganized and beautified the spreadsheets to ensure consistency. </t>
  </si>
  <si>
    <t>Verified that no data was changed and that only formatting was applied for structure and simplicity.</t>
  </si>
  <si>
    <t>Accepted with open arms.</t>
  </si>
  <si>
    <t>Additional constraints from client instruction (CON-009–CON-019)</t>
  </si>
  <si>
    <t>Drafted 11 constraints with engineering implications, interactions and trade-off summaries from verbal client instructions</t>
  </si>
  <si>
    <t>Decision log entries DEC-008, DEC-009 and the DEC-007 revision</t>
  </si>
  <si>
    <t>Drafted the branching-model decision, the verbal-requirement capture process, and the revision recording the change of basis for the mobile exclusion</t>
  </si>
  <si>
    <t>Reference sourcing for the PED</t>
  </si>
  <si>
    <t>Located and formatted six sources; identified that the 44 × 44 touch target in NFR-1.2 is Apple's HIG figure, not the WCAG 2.2 Level AA minimum of 24 × 24 (SC 2.5.8)</t>
  </si>
  <si>
    <t>Checked the WCAG criterion numbers and levels against W3C directly; confirmed ISO/IEC 25010:2023 supersedes the 2011 edition and renames portability to flexibility</t>
  </si>
  <si>
    <t>Accepted; NFR-1.2 basis corrected to cite Apple rather than WCAG, and the Charter's quality mapping updated to the 2023 characteristic names, also verified relevent and accurate resources.</t>
  </si>
  <si>
    <t>PED v1.0 assembly</t>
  </si>
  <si>
    <t>Drafted the full 13-section document structure, narrative for each section, and the appendices, from the team's existing registers</t>
  </si>
  <si>
    <t>Team Working Agreement</t>
  </si>
  <si>
    <t>Drafted the agreement, tying §5 review turnaround to RSK-013 and §6 definition of done to RSK-012</t>
  </si>
  <si>
    <t>Repository audit prompt</t>
  </si>
  <si>
    <t>Drafted a read-only audit prompt for Claude Code to check the repository against the governing briefs</t>
  </si>
  <si>
    <t>Ran the audit; verified each finding against the actual files before acting on it — including one finding raised against the PED's own claim about the baseline tag</t>
  </si>
  <si>
    <t>Accepted; findings actioned individually rather than wholesale</t>
  </si>
  <si>
    <t>Project Charter v0.2 ? v0.3 corrections</t>
  </si>
  <si>
    <t>Identified the ISO edition mismatch, the broken D1 deliverable date, missing reference list and blank team names; drafted the §7.1 register reconciliation</t>
  </si>
  <si>
    <t>Verified that the contraints given verbally aligned with the generated draft and that all constraits were viable</t>
  </si>
  <si>
    <t>Accepted, Reviwed thouroughly and happy with the result.</t>
  </si>
  <si>
    <t>Verified the updated decision given that one of our constraints changed and ensure that newly added decisions were agreed aponby the whole team.</t>
  </si>
  <si>
    <t>Accepted, all decisions make logical sense and align with the projects deliverables.</t>
  </si>
  <si>
    <t>Verified that all combined content was relevant and accurate to the artefacts done by all 3 memebers.</t>
  </si>
  <si>
    <t>Accepted, The PED draft was structured perfectly and flowed accurately to display the outputted artifacts we have created.</t>
  </si>
  <si>
    <t xml:space="preserve">Verified that the terms were relevant and reasonable. </t>
  </si>
  <si>
    <t>Accepted, The draft demonstrated a structured approach to working as a team and overall read well.</t>
  </si>
  <si>
    <t>Verified that the conditions made sense given the timeline and artefacts we produced.</t>
  </si>
  <si>
    <t>Baseline conditions C-01 to C-04</t>
  </si>
  <si>
    <t>Drafted four conditions with owners, closure criteria and affected artefacts</t>
  </si>
  <si>
    <t>Accepted, The 4 drafted conditional acceptances align exactly with the outputs we have created.</t>
  </si>
  <si>
    <t>Verified , This was and oversight by myself and glad that claude was able to pick up the mistake and assist me in correcting it.</t>
  </si>
  <si>
    <t>Accepted, Thank you claude :)</t>
  </si>
  <si>
    <t>07 Sept 2026</t>
  </si>
  <si>
    <t>Christiaan Burger</t>
  </si>
  <si>
    <t>Risk Register construction and scoring method</t>
  </si>
  <si>
    <t>Drafted 13 candidate project-specific risks derived from the Master Brief s.2 failures and the team's scope, constraint and decision artefacts, each with cause, early-warning indicator, preventive mitigation and contingency. Drafted the probability and impact scale definitions and the 1–2 / 3–4 / 6–9 priority bands.</t>
  </si>
  <si>
    <t>Forward Engineering Considerations register</t>
  </si>
  <si>
    <t>Drafted 7 forward concerns (security and personal information, migration and cut-over, testability, technology availability, deployment platform, observability, operational cost), each recording why it matters now, the later decision influenced, information still missing and the risk of ignoring it. Drafted the influence mapping showing what each changed in the M1 baseline.</t>
  </si>
  <si>
    <t>08 Sept 2026</t>
  </si>
  <si>
    <t>Repository placement and register file structure</t>
  </si>
  <si>
    <t>Argued placement of the risk and FEC registers against the Appendix C folder semantics, and recommended keeping them as two separate workbooks rather than one, on the ground that .xlsx is a binary blob git cannot merge, so a shared workbook risks losing a member's edits outright. Flagged inconsistent folder casing and the absence of a home for the AI Usage Register.</t>
  </si>
  <si>
    <t>Checked the recommendation against the team's committed folder structure; adopted the two-file split and placed both registers in docs/risk/.</t>
  </si>
  <si>
    <t>Accepted. Two-file split adopted.</t>
  </si>
  <si>
    <t>Branch integration procedure for Member B's work</t>
  </si>
  <si>
    <t>Drafted the git command sequence to merge a teammate's branch, including a pre-merge backup branch, --no-ff to force an attributable merge commit, and the binary-conflict resolution path for .xlsx files. Restated the same procedure for GitHub Desktop on request. Advised that the onward merge to dev must be a reviewed pull request, not a direct push.</t>
  </si>
  <si>
    <t>Requested the GitHub Desktop form after judging the command-line version unsuitable for the team's workflow. Merge not yet executed at time of logging.</t>
  </si>
  <si>
    <t>Accepted as procedure; execution pending.</t>
  </si>
  <si>
    <t>09 Sept 2026</t>
  </si>
  <si>
    <t>Cross-artefact reconciliation of the registers against the A and B baseline</t>
  </si>
  <si>
    <t>Read all ten of Member A's and Member B's artefacts and checked every cross-reference in the risk and FEC registers against them. Identified that RSK-004's duplicate-detection mitigation has no corresponding requirement among the 47 FRs; that the mitigations behind RSK-009, RSK-010 and RSK-011 had since been delivered by Member B and were still written as future actions; that the SCP-, CFL- and OI- prefixes in use are absent from the PED s.1.5 identifier scheme while DEF- and ASM- are declared but unused; and that three FRs and one NFR remain un-baselined.</t>
  </si>
  <si>
    <t>Challenged the completeness of the FEC portion of the analysis and required a second pass, which produced four further changes that the first pass had missed.</t>
  </si>
  <si>
    <t>Accepted with corrections after a second pass.</t>
  </si>
  <si>
    <t>Repair of the Risk Register calculation chain</t>
  </si>
  <si>
    <t>Diagnosed the #REF! errors in the Priority and matrix cells as a severed external workbook link to the FEC file, created when the combined workbook was split. Repaired the formulas and removed the external link. The first repair produced a file Excel refused to open — a dangling relationship written by the library used to re-save the workbook; rebuilt by editing the file's XML directly so the original structure was preserved.</t>
  </si>
  <si>
    <t>Opened the first repaired file in Excel, found it reported corrupt content and reported the failure rather than accepting the output. Confirmed the rebuilt file opens and that the resulting distribution matches the register.</t>
  </si>
  <si>
    <t>Rejected on first attempt; accepted after rework.</t>
  </si>
  <si>
    <t>FEC register traceability to the requirements baseline</t>
  </si>
  <si>
    <t>Populated the 'Linked FR / NFR / RSK' column, which cited no FR or NFR at all, with mappings to Member B's requirements; recorded FEC-002 as having no requirement coverage, with the reason, rather than leaving it blank. Named the owner, differentiated the status values, and updated the influence-sheet asks against what A and B had actually delivered.</t>
  </si>
  <si>
    <t>GitHub governance evidence capture plan</t>
  </si>
  <si>
    <t>Drafted the ordered list of branch-protection and review evidence to capture, the framing requirements for each screenshot, and the storage and naming convention. Advised capturing the blocked-merge state first on the ground that it cannot be reconstructed once a pull request is approved.</t>
  </si>
  <si>
    <t>Audit of Member C deliverables against the milestone brief</t>
  </si>
  <si>
    <t>Checked each Member C requirement in the brief against the current artefacts and reported which were met, which were not, and which could not be verified without repository access.</t>
  </si>
  <si>
    <t>Conversion of risk scoring to a numeric 1–3 scale</t>
  </si>
  <si>
    <t>Replaced the lookup-based Priority formula with direct multiplication and converted the probability and impact columns to numeric values, at the team's request following peer review. Updated the exposure matrix criteria, which would otherwise have silently returned zero counts rather than erroring. Converted the exposure matrix to a P×I score grid and added a separate grid retaining the risk counts. Stored the calculated results in the file after the first attempt left the cells blank.</t>
  </si>
  <si>
    <t>Specified the change following a team member's review of the register. Identified that the Priority and count cells rendered blank in Excel after the first attempt and required the results to be stored rather than recalculated on open.</t>
  </si>
  <si>
    <t>Accepted after rework.</t>
  </si>
  <si>
    <t>Verified that the scoring method aligned with taught methods during PMM381 and ensured that all drafted risk were real and accurate risks.</t>
  </si>
  <si>
    <t>Verified that the 7 drafted concers made logical sense and verified that these concerns could become greater risks down the line.</t>
  </si>
  <si>
    <t>Accepted and changed , The risks were aligned with real project risks but the method used for calculations was off , corrected it with knowledge gained from PMM 381</t>
  </si>
  <si>
    <t>Accepted, The drafted concerns highlighted real concrens that we need to be aware of.</t>
  </si>
  <si>
    <t xml:space="preserve">Verified and updated the column to show accurate content and ensured that the link was accurate. </t>
  </si>
  <si>
    <t>Accepted. Guidance was appreciated.</t>
  </si>
  <si>
    <t xml:space="preserve">Ensured that the proposed solutions were standard and best practice. </t>
  </si>
  <si>
    <t xml:space="preserve">Accepted, used the drafted order list to strusture the current repo to comply with governance. </t>
  </si>
  <si>
    <t xml:space="preserve">Verified that the proposed requirements were actually in the Master brief and ensured that they related to the tasks I was assigned to. </t>
  </si>
  <si>
    <t>Accepted, Used the audit to ensure all needed outputs were created.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</si>
</sst>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mmm\ yyyy"/>
  </numFmts>
  <fonts count="4" x14ac:knownFonts="1">
    <font>
      <sz val="11"/>
      <color theme="1"/>
      <name val="Aptos Narrow"/>
      <family val="2"/>
      <scheme val="minor"/>
    </font>
    <font>
      <b/>
      <sz val="18"/>
      <color rgb="FF1F3864"/>
      <name val="Aptos Narrow"/>
      <family val="2"/>
      <scheme val="minor"/>
    </font>
    <font>
      <b/>
      <sz val="11"/>
      <color rgb="FFFFFFFF"/>
      <name val="Aptos Narrow"/>
      <family val="2"/>
      <scheme val="minor"/>
    </font>
    <font>
      <sz val="10"/>
      <name val="Calibri"/>
      <family val="2"/>
    </font>
  </fonts>
  <fills count="4">
    <fill>
      <patternFill patternType="none"/>
    </fill>
    <fill>
      <patternFill patternType="gray125"/>
    </fill>
    <fill>
      <patternFill patternType="solid">
        <fgColor rgb="FF1F3864"/>
        <bgColor indexed="64"/>
      </patternFill>
    </fill>
    <fill>
      <patternFill patternType="solid">
        <fgColor rgb="FFFFF2CC"/>
      </patternFill>
    </fill>
  </fills>
  <borders count="7">
    <border>
      <left/>
      <right/>
      <top/>
      <bottom/>
      <diagonal/>
    </border>
    <border>
      <left style="thin">
        <color rgb="FFB4C6E7"/>
      </left>
      <right style="thin">
        <color rgb="FFB4C6E7"/>
      </right>
      <top style="thin">
        <color rgb="FFB4C6E7"/>
      </top>
      <bottom style="thin">
        <color rgb="FFB4C6E7"/>
      </bottom>
      <diagonal/>
    </border>
    <border>
      <left style="thin">
        <color rgb="FFB4C6E7"/>
      </left>
      <right style="thin">
        <color rgb="FFB4C6E7"/>
      </right>
      <top/>
      <bottom style="thin">
        <color rgb="FFB4C6E7"/>
      </bottom>
      <diagonal/>
    </border>
    <border>
      <left style="thin">
        <color rgb="FFB4C6E7"/>
      </left>
      <right style="thin">
        <color rgb="FFB4C6E7"/>
      </right>
      <top style="medium">
        <color rgb="FF1F3864"/>
      </top>
      <bottom style="medium">
        <color rgb="FF1F3864"/>
      </bottom>
      <diagonal/>
    </border>
    <border>
      <left style="medium">
        <color rgb="FF1F3864"/>
      </left>
      <right style="thin">
        <color rgb="FFB4C6E7"/>
      </right>
      <top style="medium">
        <color rgb="FF1F3864"/>
      </top>
      <bottom style="medium">
        <color rgb="FF1F3864"/>
      </bottom>
      <diagonal/>
    </border>
    <border>
      <left style="thin">
        <color rgb="FFB4C6E7"/>
      </left>
      <right style="medium">
        <color rgb="FF1F3864"/>
      </right>
      <top style="medium">
        <color rgb="FF1F3864"/>
      </top>
      <bottom style="medium">
        <color rgb="FF1F3864"/>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
    <xf numFmtId="0" fontId="0" fillId="0" borderId="0" xfId="0"/>
    <xf numFmtId="0" fontId="0" fillId="0" borderId="0" xfId="0" applyAlignment="1">
      <alignment horizontal="center" vertical="center"/>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164" fontId="0" fillId="0" borderId="2" xfId="0" applyNumberFormat="1" applyBorder="1" applyAlignment="1">
      <alignment horizontal="center" vertical="center" wrapText="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1" fillId="0" borderId="0" xfId="0" applyFont="1" applyAlignment="1">
      <alignment horizontal="center" vertical="center"/>
    </xf>
    <xf numFmtId="0" fontId="3" fillId="0" borderId="6" xfId="0" applyFont="1" applyBorder="1" applyAlignment="1">
      <alignment horizontal="center" vertical="center" wrapText="1"/>
    </xf>
    <xf numFmtId="0" fontId="3" fillId="3" borderId="6" xfId="0" applyFont="1" applyFill="1" applyBorder="1" applyAlignment="1">
      <alignment horizontal="center" vertical="center" wrapText="1"/>
    </xf>
    <xf numFmtId="0" fontId="3" fillId="0" borderId="6" xfId="0" applyFont="1" applyFill="1" applyBorder="1" applyAlignment="1">
      <alignment horizontal="center" vertical="center" wrapText="1"/>
    </xf>
  </cellXfs>
  <cellStyles count="1">
    <cellStyle name="Normal" xfId="0" builtinId="0"/>
  </cellStyles>
  <dxfs count="1">
    <dxf>
      <fill>
        <patternFill patternType="solid">
          <fgColor indexed="64"/>
          <bgColor rgb="FFF2F6F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52A4811-8A52-498D-AAA4-C2593BD6A94E}">
  <we:reference id="wa200010725" version="1.0.0.1" store="en-US" storeType="OMEX"/>
  <we:alternateReferences>
    <we:reference id="wa200010725" version="1.0.0.1" store="en-US" storeType="OMEX"/>
  </we:alternateReferences>
  <we:properties>
    <we:property name="claude.fileId" value="&quot;28dae991-e53e-4325-9e9a-f637fc3055f4&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4F442-2A73-49B1-8573-51801F154B81}">
  <sheetPr>
    <tabColor rgb="FF1F3864"/>
  </sheetPr>
  <dimension ref="B1:H38"/>
  <sheetViews>
    <sheetView showGridLines="0" tabSelected="1" zoomScale="85" zoomScaleNormal="85" workbookViewId="0">
      <pane ySplit="2" topLeftCell="A22" activePane="bottomLeft" state="frozen"/>
      <selection pane="bottomLeft" activeCell="M31" sqref="M31:N31"/>
    </sheetView>
  </sheetViews>
  <sheetFormatPr defaultColWidth="8.88671875" defaultRowHeight="14.4" x14ac:dyDescent="0.3"/>
  <cols>
    <col min="1" max="1" width="4.109375" style="1" customWidth="1"/>
    <col min="2" max="2" width="14.6640625" style="1" customWidth="1"/>
    <col min="3" max="4" width="20.33203125" style="1" customWidth="1"/>
    <col min="5" max="6" width="37" style="1" customWidth="1"/>
    <col min="7" max="7" width="41.5546875" style="1" customWidth="1"/>
    <col min="8" max="8" width="40.33203125" style="1" customWidth="1"/>
    <col min="9" max="16384" width="8.88671875" style="1"/>
  </cols>
  <sheetData>
    <row r="1" spans="2:8" ht="34.200000000000003" customHeight="1" thickBot="1" x14ac:dyDescent="0.35">
      <c r="B1" s="10" t="s">
        <v>7</v>
      </c>
      <c r="C1" s="10"/>
      <c r="D1" s="10"/>
      <c r="E1" s="10"/>
      <c r="F1" s="10"/>
      <c r="G1" s="10"/>
      <c r="H1" s="10"/>
    </row>
    <row r="2" spans="2:8" ht="30" customHeight="1" thickBot="1" x14ac:dyDescent="0.35">
      <c r="B2" s="3" t="s">
        <v>0</v>
      </c>
      <c r="C2" s="2" t="s">
        <v>1</v>
      </c>
      <c r="D2" s="2" t="s">
        <v>2</v>
      </c>
      <c r="E2" s="2" t="s">
        <v>3</v>
      </c>
      <c r="F2" s="2" t="s">
        <v>4</v>
      </c>
      <c r="G2" s="2" t="s">
        <v>5</v>
      </c>
      <c r="H2" s="4" t="s">
        <v>6</v>
      </c>
    </row>
    <row r="3" spans="2:8" ht="43.2" x14ac:dyDescent="0.3">
      <c r="B3" s="5">
        <f t="shared" ref="B3:B8" si="0">DATE(2026,9,8)</f>
        <v>46273</v>
      </c>
      <c r="C3" s="6" t="s">
        <v>8</v>
      </c>
      <c r="D3" s="6" t="s">
        <v>9</v>
      </c>
      <c r="E3" s="6" t="s">
        <v>10</v>
      </c>
      <c r="F3" s="6" t="s">
        <v>11</v>
      </c>
      <c r="G3" s="6" t="s">
        <v>12</v>
      </c>
      <c r="H3" s="6" t="s">
        <v>13</v>
      </c>
    </row>
    <row r="4" spans="2:8" ht="28.8" x14ac:dyDescent="0.3">
      <c r="B4" s="7">
        <f t="shared" si="0"/>
        <v>46273</v>
      </c>
      <c r="C4" s="8" t="s">
        <v>8</v>
      </c>
      <c r="D4" s="8" t="s">
        <v>9</v>
      </c>
      <c r="E4" s="8" t="s">
        <v>14</v>
      </c>
      <c r="F4" s="8" t="s">
        <v>18</v>
      </c>
      <c r="G4" s="8" t="s">
        <v>22</v>
      </c>
      <c r="H4" s="8" t="s">
        <v>23</v>
      </c>
    </row>
    <row r="5" spans="2:8" ht="28.8" x14ac:dyDescent="0.3">
      <c r="B5" s="7">
        <f t="shared" si="0"/>
        <v>46273</v>
      </c>
      <c r="C5" s="8" t="s">
        <v>8</v>
      </c>
      <c r="D5" s="8" t="s">
        <v>9</v>
      </c>
      <c r="E5" s="8" t="s">
        <v>15</v>
      </c>
      <c r="F5" s="8" t="s">
        <v>19</v>
      </c>
      <c r="G5" s="8" t="s">
        <v>24</v>
      </c>
      <c r="H5" s="8" t="s">
        <v>25</v>
      </c>
    </row>
    <row r="6" spans="2:8" ht="43.2" x14ac:dyDescent="0.3">
      <c r="B6" s="7">
        <f t="shared" si="0"/>
        <v>46273</v>
      </c>
      <c r="C6" s="8" t="s">
        <v>8</v>
      </c>
      <c r="D6" s="8" t="s">
        <v>9</v>
      </c>
      <c r="E6" s="8" t="s">
        <v>16</v>
      </c>
      <c r="F6" s="8" t="s">
        <v>20</v>
      </c>
      <c r="G6" s="8" t="s">
        <v>26</v>
      </c>
      <c r="H6" s="8" t="s">
        <v>27</v>
      </c>
    </row>
    <row r="7" spans="2:8" ht="43.2" x14ac:dyDescent="0.3">
      <c r="B7" s="7">
        <f t="shared" si="0"/>
        <v>46273</v>
      </c>
      <c r="C7" s="8" t="s">
        <v>8</v>
      </c>
      <c r="D7" s="8" t="s">
        <v>9</v>
      </c>
      <c r="E7" s="8" t="s">
        <v>17</v>
      </c>
      <c r="F7" s="8" t="s">
        <v>21</v>
      </c>
      <c r="G7" s="8" t="s">
        <v>28</v>
      </c>
      <c r="H7" s="8" t="s">
        <v>29</v>
      </c>
    </row>
    <row r="8" spans="2:8" ht="43.2" x14ac:dyDescent="0.3">
      <c r="B8" s="7">
        <f t="shared" si="0"/>
        <v>46273</v>
      </c>
      <c r="C8" s="8" t="s">
        <v>8</v>
      </c>
      <c r="D8" s="8" t="s">
        <v>9</v>
      </c>
      <c r="E8" s="8" t="s">
        <v>30</v>
      </c>
      <c r="F8" s="8" t="s">
        <v>31</v>
      </c>
      <c r="G8" s="8" t="s">
        <v>32</v>
      </c>
      <c r="H8" s="8" t="s">
        <v>33</v>
      </c>
    </row>
    <row r="9" spans="2:8" ht="43.2" x14ac:dyDescent="0.3">
      <c r="B9" s="7">
        <f t="shared" ref="B9:B16" si="1">DATE(2026,9,9)</f>
        <v>46274</v>
      </c>
      <c r="C9" s="8" t="s">
        <v>8</v>
      </c>
      <c r="D9" s="8" t="s">
        <v>9</v>
      </c>
      <c r="E9" s="8" t="s">
        <v>34</v>
      </c>
      <c r="F9" s="8" t="s">
        <v>35</v>
      </c>
      <c r="G9" s="8" t="s">
        <v>52</v>
      </c>
      <c r="H9" s="8" t="s">
        <v>53</v>
      </c>
    </row>
    <row r="10" spans="2:8" ht="57.6" x14ac:dyDescent="0.3">
      <c r="B10" s="7">
        <f t="shared" si="1"/>
        <v>46274</v>
      </c>
      <c r="C10" s="8" t="s">
        <v>8</v>
      </c>
      <c r="D10" s="8" t="s">
        <v>9</v>
      </c>
      <c r="E10" s="8" t="s">
        <v>36</v>
      </c>
      <c r="F10" s="8" t="s">
        <v>37</v>
      </c>
      <c r="G10" s="8" t="s">
        <v>54</v>
      </c>
      <c r="H10" s="8" t="s">
        <v>55</v>
      </c>
    </row>
    <row r="11" spans="2:8" ht="72" x14ac:dyDescent="0.3">
      <c r="B11" s="7">
        <f t="shared" si="1"/>
        <v>46274</v>
      </c>
      <c r="C11" s="8" t="s">
        <v>8</v>
      </c>
      <c r="D11" s="8" t="s">
        <v>9</v>
      </c>
      <c r="E11" s="9" t="s">
        <v>38</v>
      </c>
      <c r="F11" s="8" t="s">
        <v>39</v>
      </c>
      <c r="G11" s="8" t="s">
        <v>40</v>
      </c>
      <c r="H11" s="8" t="s">
        <v>41</v>
      </c>
    </row>
    <row r="12" spans="2:8" ht="57.6" x14ac:dyDescent="0.3">
      <c r="B12" s="7">
        <f t="shared" si="1"/>
        <v>46274</v>
      </c>
      <c r="C12" s="8" t="s">
        <v>8</v>
      </c>
      <c r="D12" s="8" t="s">
        <v>9</v>
      </c>
      <c r="E12" s="8" t="s">
        <v>42</v>
      </c>
      <c r="F12" s="8" t="s">
        <v>43</v>
      </c>
      <c r="G12" s="8" t="s">
        <v>56</v>
      </c>
      <c r="H12" s="8" t="s">
        <v>57</v>
      </c>
    </row>
    <row r="13" spans="2:8" ht="43.2" x14ac:dyDescent="0.3">
      <c r="B13" s="7">
        <f t="shared" si="1"/>
        <v>46274</v>
      </c>
      <c r="C13" s="8" t="s">
        <v>8</v>
      </c>
      <c r="D13" s="8" t="s">
        <v>9</v>
      </c>
      <c r="E13" s="8" t="s">
        <v>44</v>
      </c>
      <c r="F13" s="8" t="s">
        <v>45</v>
      </c>
      <c r="G13" s="8" t="s">
        <v>58</v>
      </c>
      <c r="H13" s="8" t="s">
        <v>59</v>
      </c>
    </row>
    <row r="14" spans="2:8" ht="43.2" x14ac:dyDescent="0.3">
      <c r="B14" s="7">
        <f t="shared" si="1"/>
        <v>46274</v>
      </c>
      <c r="C14" s="8" t="s">
        <v>8</v>
      </c>
      <c r="D14" s="8" t="s">
        <v>9</v>
      </c>
      <c r="E14" s="8" t="s">
        <v>61</v>
      </c>
      <c r="F14" s="8" t="s">
        <v>62</v>
      </c>
      <c r="G14" s="8" t="s">
        <v>60</v>
      </c>
      <c r="H14" s="8" t="s">
        <v>63</v>
      </c>
    </row>
    <row r="15" spans="2:8" ht="57.6" x14ac:dyDescent="0.3">
      <c r="B15" s="7">
        <f t="shared" si="1"/>
        <v>46274</v>
      </c>
      <c r="C15" s="8" t="s">
        <v>8</v>
      </c>
      <c r="D15" s="8" t="s">
        <v>9</v>
      </c>
      <c r="E15" s="8" t="s">
        <v>46</v>
      </c>
      <c r="F15" s="8" t="s">
        <v>47</v>
      </c>
      <c r="G15" s="8" t="s">
        <v>48</v>
      </c>
      <c r="H15" s="8" t="s">
        <v>49</v>
      </c>
    </row>
    <row r="16" spans="2:8" ht="57.6" x14ac:dyDescent="0.3">
      <c r="B16" s="7">
        <f t="shared" si="1"/>
        <v>46274</v>
      </c>
      <c r="C16" s="8" t="s">
        <v>8</v>
      </c>
      <c r="D16" s="8" t="s">
        <v>9</v>
      </c>
      <c r="E16" s="8" t="s">
        <v>50</v>
      </c>
      <c r="F16" s="8" t="s">
        <v>51</v>
      </c>
      <c r="G16" s="8" t="s">
        <v>64</v>
      </c>
      <c r="H16" s="8" t="s">
        <v>65</v>
      </c>
    </row>
    <row r="17" spans="2:8" ht="110.4" x14ac:dyDescent="0.3">
      <c r="B17" s="11" t="s">
        <v>66</v>
      </c>
      <c r="C17" s="11" t="s">
        <v>67</v>
      </c>
      <c r="D17" s="11" t="s">
        <v>9</v>
      </c>
      <c r="E17" s="11" t="s">
        <v>68</v>
      </c>
      <c r="F17" s="11" t="s">
        <v>69</v>
      </c>
      <c r="G17" s="11" t="s">
        <v>100</v>
      </c>
      <c r="H17" s="11" t="s">
        <v>102</v>
      </c>
    </row>
    <row r="18" spans="2:8" ht="138" x14ac:dyDescent="0.3">
      <c r="B18" s="11" t="s">
        <v>66</v>
      </c>
      <c r="C18" s="11" t="s">
        <v>67</v>
      </c>
      <c r="D18" s="11" t="s">
        <v>9</v>
      </c>
      <c r="E18" s="11" t="s">
        <v>70</v>
      </c>
      <c r="F18" s="11" t="s">
        <v>71</v>
      </c>
      <c r="G18" s="12" t="s">
        <v>101</v>
      </c>
      <c r="H18" s="12" t="s">
        <v>103</v>
      </c>
    </row>
    <row r="19" spans="2:8" ht="124.2" x14ac:dyDescent="0.3">
      <c r="B19" s="11" t="s">
        <v>72</v>
      </c>
      <c r="C19" s="11" t="s">
        <v>67</v>
      </c>
      <c r="D19" s="11" t="s">
        <v>9</v>
      </c>
      <c r="E19" s="11" t="s">
        <v>73</v>
      </c>
      <c r="F19" s="11" t="s">
        <v>74</v>
      </c>
      <c r="G19" s="11" t="s">
        <v>75</v>
      </c>
      <c r="H19" s="11" t="s">
        <v>76</v>
      </c>
    </row>
    <row r="20" spans="2:8" ht="124.2" x14ac:dyDescent="0.3">
      <c r="B20" s="11" t="s">
        <v>72</v>
      </c>
      <c r="C20" s="11" t="s">
        <v>67</v>
      </c>
      <c r="D20" s="11" t="s">
        <v>9</v>
      </c>
      <c r="E20" s="11" t="s">
        <v>77</v>
      </c>
      <c r="F20" s="11" t="s">
        <v>78</v>
      </c>
      <c r="G20" s="11" t="s">
        <v>79</v>
      </c>
      <c r="H20" s="11" t="s">
        <v>80</v>
      </c>
    </row>
    <row r="21" spans="2:8" ht="179.4" x14ac:dyDescent="0.3">
      <c r="B21" s="11" t="s">
        <v>81</v>
      </c>
      <c r="C21" s="11" t="s">
        <v>67</v>
      </c>
      <c r="D21" s="11" t="s">
        <v>9</v>
      </c>
      <c r="E21" s="11" t="s">
        <v>82</v>
      </c>
      <c r="F21" s="11" t="s">
        <v>83</v>
      </c>
      <c r="G21" s="11" t="s">
        <v>84</v>
      </c>
      <c r="H21" s="11" t="s">
        <v>85</v>
      </c>
    </row>
    <row r="22" spans="2:8" ht="138" x14ac:dyDescent="0.3">
      <c r="B22" s="11" t="s">
        <v>81</v>
      </c>
      <c r="C22" s="11" t="s">
        <v>67</v>
      </c>
      <c r="D22" s="11" t="s">
        <v>9</v>
      </c>
      <c r="E22" s="11" t="s">
        <v>86</v>
      </c>
      <c r="F22" s="11" t="s">
        <v>87</v>
      </c>
      <c r="G22" s="11" t="s">
        <v>88</v>
      </c>
      <c r="H22" s="11" t="s">
        <v>89</v>
      </c>
    </row>
    <row r="23" spans="2:8" ht="124.2" x14ac:dyDescent="0.3">
      <c r="B23" s="11" t="s">
        <v>81</v>
      </c>
      <c r="C23" s="11" t="s">
        <v>67</v>
      </c>
      <c r="D23" s="11" t="s">
        <v>9</v>
      </c>
      <c r="E23" s="11" t="s">
        <v>90</v>
      </c>
      <c r="F23" s="11" t="s">
        <v>91</v>
      </c>
      <c r="G23" s="13" t="s">
        <v>104</v>
      </c>
      <c r="H23" s="13" t="s">
        <v>105</v>
      </c>
    </row>
    <row r="24" spans="2:8" ht="96.6" x14ac:dyDescent="0.3">
      <c r="B24" s="11" t="s">
        <v>81</v>
      </c>
      <c r="C24" s="11" t="s">
        <v>67</v>
      </c>
      <c r="D24" s="11" t="s">
        <v>9</v>
      </c>
      <c r="E24" s="11" t="s">
        <v>92</v>
      </c>
      <c r="F24" s="11" t="s">
        <v>93</v>
      </c>
      <c r="G24" s="13" t="s">
        <v>106</v>
      </c>
      <c r="H24" s="13" t="s">
        <v>107</v>
      </c>
    </row>
    <row r="25" spans="2:8" ht="69" x14ac:dyDescent="0.3">
      <c r="B25" s="11" t="s">
        <v>81</v>
      </c>
      <c r="C25" s="11" t="s">
        <v>67</v>
      </c>
      <c r="D25" s="11" t="s">
        <v>9</v>
      </c>
      <c r="E25" s="11" t="s">
        <v>94</v>
      </c>
      <c r="F25" s="11" t="s">
        <v>95</v>
      </c>
      <c r="G25" s="13" t="s">
        <v>108</v>
      </c>
      <c r="H25" s="13" t="s">
        <v>109</v>
      </c>
    </row>
    <row r="26" spans="2:8" ht="151.80000000000001" x14ac:dyDescent="0.3">
      <c r="B26" s="11" t="s">
        <v>81</v>
      </c>
      <c r="C26" s="11" t="s">
        <v>67</v>
      </c>
      <c r="D26" s="11" t="s">
        <v>9</v>
      </c>
      <c r="E26" s="11" t="s">
        <v>96</v>
      </c>
      <c r="F26" s="11" t="s">
        <v>97</v>
      </c>
      <c r="G26" s="11" t="s">
        <v>98</v>
      </c>
      <c r="H26" s="11" t="s">
        <v>99</v>
      </c>
    </row>
    <row r="27" spans="2:8" x14ac:dyDescent="0.3">
      <c r="B27" s="7"/>
      <c r="C27" s="8"/>
      <c r="D27" s="8"/>
      <c r="E27" s="8"/>
      <c r="F27" s="8"/>
      <c r="G27" s="8"/>
      <c r="H27" s="8"/>
    </row>
    <row r="28" spans="2:8" x14ac:dyDescent="0.3">
      <c r="B28" s="7"/>
      <c r="C28" s="8"/>
      <c r="D28" s="8"/>
      <c r="E28" s="8"/>
      <c r="F28" s="8"/>
      <c r="G28" s="8"/>
      <c r="H28" s="8"/>
    </row>
    <row r="29" spans="2:8" x14ac:dyDescent="0.3">
      <c r="B29" s="7"/>
      <c r="C29" s="8"/>
      <c r="D29" s="8"/>
      <c r="E29" s="8"/>
      <c r="F29" s="8"/>
      <c r="G29" s="8"/>
      <c r="H29" s="8"/>
    </row>
    <row r="30" spans="2:8" x14ac:dyDescent="0.3">
      <c r="B30" s="7"/>
      <c r="C30" s="8"/>
      <c r="D30" s="8"/>
      <c r="E30" s="8"/>
      <c r="F30" s="8"/>
      <c r="G30" s="8"/>
      <c r="H30" s="8"/>
    </row>
    <row r="31" spans="2:8" x14ac:dyDescent="0.3">
      <c r="B31" s="7"/>
      <c r="C31" s="8"/>
      <c r="D31" s="8"/>
      <c r="E31" s="8"/>
      <c r="F31" s="8"/>
      <c r="G31" s="8"/>
      <c r="H31" s="8"/>
    </row>
    <row r="32" spans="2:8" x14ac:dyDescent="0.3">
      <c r="B32" s="7"/>
      <c r="C32" s="8"/>
      <c r="D32" s="8"/>
      <c r="E32" s="8"/>
      <c r="F32" s="8"/>
      <c r="G32" s="8"/>
      <c r="H32" s="8"/>
    </row>
    <row r="33" spans="2:8" x14ac:dyDescent="0.3">
      <c r="B33" s="7"/>
      <c r="C33" s="8"/>
      <c r="D33" s="8"/>
      <c r="E33" s="8"/>
      <c r="F33" s="8"/>
      <c r="G33" s="8"/>
      <c r="H33" s="8"/>
    </row>
    <row r="34" spans="2:8" x14ac:dyDescent="0.3">
      <c r="B34" s="7"/>
      <c r="C34" s="8"/>
      <c r="D34" s="8"/>
      <c r="E34" s="8"/>
      <c r="F34" s="8"/>
      <c r="G34" s="8"/>
      <c r="H34" s="8"/>
    </row>
    <row r="35" spans="2:8" x14ac:dyDescent="0.3">
      <c r="B35" s="7"/>
      <c r="C35" s="8"/>
      <c r="D35" s="8"/>
      <c r="E35" s="8"/>
      <c r="F35" s="8"/>
      <c r="G35" s="8"/>
      <c r="H35" s="8"/>
    </row>
    <row r="36" spans="2:8" x14ac:dyDescent="0.3">
      <c r="B36" s="7"/>
      <c r="C36" s="8"/>
      <c r="D36" s="8"/>
      <c r="E36" s="8"/>
      <c r="F36" s="8"/>
      <c r="G36" s="8"/>
      <c r="H36" s="8"/>
    </row>
    <row r="37" spans="2:8" x14ac:dyDescent="0.3">
      <c r="B37" s="7"/>
      <c r="C37" s="8"/>
      <c r="D37" s="8"/>
      <c r="E37" s="8"/>
      <c r="F37" s="8"/>
      <c r="G37" s="8"/>
      <c r="H37" s="8"/>
    </row>
    <row r="38" spans="2:8" x14ac:dyDescent="0.3">
      <c r="B38" s="7"/>
      <c r="C38" s="8"/>
      <c r="D38" s="8"/>
      <c r="E38" s="8"/>
      <c r="F38" s="8"/>
      <c r="G38" s="8"/>
      <c r="H38" s="8"/>
    </row>
  </sheetData>
  <mergeCells count="1">
    <mergeCell ref="B1:H1"/>
  </mergeCells>
  <conditionalFormatting sqref="B3:H38">
    <cfRule type="expression" dxfId="0" priority="1">
      <formula>MOD(ROW(),2)=0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Usage Register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ethan lindsay</dc:creator>
  <cp:lastModifiedBy>ethan lindsay</cp:lastModifiedBy>
  <dcterms:created xsi:type="dcterms:W3CDTF">2026-09-08T21:43:35Z</dcterms:created>
  <dcterms:modified xsi:type="dcterms:W3CDTF">2026-09-09T21:18:15Z</dcterms:modified>
</cp:coreProperties>
</file>