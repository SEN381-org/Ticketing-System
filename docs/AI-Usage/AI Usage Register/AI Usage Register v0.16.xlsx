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elind\m4-wt\closure\docs\AI-Usage\AI Usage Register\"/>
    </mc:Choice>
  </mc:AlternateContent>
  <xr:revisionPtr revIDLastSave="0" documentId="13_ncr:1_{270962A1-3287-4519-8CA7-F195CC98CAE9}" xr6:coauthVersionLast="47" xr6:coauthVersionMax="47" xr10:uidLastSave="{00000000-0000-0000-0000-000000000000}"/>
  <bookViews>
    <workbookView xWindow="-96" yWindow="-96" windowWidth="30912" windowHeight="17472" xr2:uid="{00000000-000D-0000-FFFF-FFFF00000000}"/>
  </bookViews>
  <sheets>
    <sheet name="AI Usage Register" sheetId="1" r:id="rId1"/>
  </sheets>
  <definedNames>
    <definedName name="_xlnm._FilterDatabase" localSheetId="0" hidden="1">'AI Usage Register'!$B$2:$I$185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9" i="1" l="1"/>
  <c r="B100" i="1"/>
  <c r="B101" i="1"/>
  <c r="B102" i="1"/>
  <c r="B103" i="1"/>
  <c r="B104" i="1"/>
  <c r="B105" i="1"/>
  <c r="B106" i="1"/>
  <c r="B107" i="1"/>
  <c r="B108" i="1"/>
  <c r="B97" i="1"/>
  <c r="B98" i="1"/>
  <c r="B88" i="1"/>
  <c r="B89" i="1"/>
  <c r="B90" i="1"/>
  <c r="B91" i="1"/>
  <c r="B92" i="1"/>
  <c r="B93" i="1"/>
  <c r="B94" i="1"/>
  <c r="B95" i="1"/>
  <c r="B96" i="1"/>
  <c r="B83" i="1"/>
  <c r="B84" i="1"/>
  <c r="B85" i="1"/>
  <c r="B86" i="1"/>
  <c r="B87" i="1"/>
  <c r="B22" i="1"/>
  <c r="B23" i="1"/>
  <c r="B24" i="1"/>
  <c r="B25" i="1"/>
  <c r="B26" i="1"/>
  <c r="B27" i="1"/>
  <c r="B28" i="1"/>
  <c r="B29" i="1"/>
  <c r="B30" i="1"/>
  <c r="B21" i="1"/>
  <c r="B12" i="1"/>
  <c r="B11" i="1"/>
  <c r="B4" i="1"/>
  <c r="B3" i="1"/>
  <c r="B82" i="1"/>
  <c r="B78" i="1"/>
  <c r="B77" i="1"/>
  <c r="B76" i="1"/>
  <c r="B75" i="1"/>
  <c r="B74" i="1"/>
  <c r="B73" i="1"/>
  <c r="B67" i="1"/>
  <c r="B66" i="1"/>
  <c r="B65" i="1"/>
  <c r="B64" i="1"/>
  <c r="B81" i="1"/>
  <c r="B80" i="1"/>
  <c r="B79" i="1"/>
  <c r="B63" i="1"/>
  <c r="B61" i="1"/>
  <c r="B60" i="1"/>
  <c r="B20" i="1"/>
  <c r="B19" i="1"/>
  <c r="B18" i="1"/>
  <c r="B17" i="1"/>
  <c r="B16" i="1"/>
  <c r="B15" i="1"/>
  <c r="B14" i="1"/>
  <c r="B13" i="1"/>
  <c r="B10" i="1"/>
  <c r="B9" i="1"/>
  <c r="B8" i="1"/>
  <c r="B7" i="1"/>
  <c r="B6" i="1"/>
  <c r="B5" i="1"/>
</calcChain>
</file>

<file path=xl/sharedStrings.xml><?xml version="1.0" encoding="utf-8"?>
<sst xmlns="http://schemas.openxmlformats.org/spreadsheetml/2006/main" count="723" uniqueCount="511">
  <si>
    <t>AI Usage Register</t>
  </si>
  <si>
    <t>Date</t>
  </si>
  <si>
    <t>Student</t>
  </si>
  <si>
    <t>Tool</t>
  </si>
  <si>
    <t>Engineering Task</t>
  </si>
  <si>
    <t>AI Contribution</t>
  </si>
  <si>
    <t>Verification</t>
  </si>
  <si>
    <t>Decision</t>
  </si>
  <si>
    <t>Issues found</t>
  </si>
  <si>
    <t>Ethan Lindsay</t>
  </si>
  <si>
    <t>Claude</t>
  </si>
  <si>
    <t>Stakeholder identification for campus context</t>
  </si>
  <si>
    <t>Proposed possible stakeholder roles assosiated with a system like this</t>
  </si>
  <si>
    <t>Compared each againts the Master Brief s.2 and s.3 capability groups and verified that the proposed rolls are valid positions.</t>
  </si>
  <si>
    <t xml:space="preserve">Accepted with changes to some of the suggested roles. </t>
  </si>
  <si>
    <t>Stakeholder conflict analysis</t>
  </si>
  <si>
    <t>Drafted 4 conflicts with proposed resolutions</t>
  </si>
  <si>
    <t>Team reviewed and agreed resolutions on 07/09/2026</t>
  </si>
  <si>
    <t>Accepted with corrections and additions to conflicts given verbally.</t>
  </si>
  <si>
    <t>Scope baseline classification</t>
  </si>
  <si>
    <t>Drafted 20 scope items across in/out/deferred with justifications</t>
  </si>
  <si>
    <t>Checked every IN SCOPE item traces to a Master Brief s.3 capability</t>
  </si>
  <si>
    <t>Accepted and ensured that all given items were actually in scope and viable.</t>
  </si>
  <si>
    <t>Constraints analysis</t>
  </si>
  <si>
    <t>Drafted 8 constraints with engineering implications</t>
  </si>
  <si>
    <t>Verified each against Master Brief s.4, s.18, s.25; independently confirmed POPIA applicability and cited the Act</t>
  </si>
  <si>
    <t>Accepted, Verified time , cost and resource constraints fit the the system we are planning to develop.</t>
  </si>
  <si>
    <t>Problem &amp; business need section</t>
  </si>
  <si>
    <t>Drafted PED section 2</t>
  </si>
  <si>
    <t>Verified that the content made logical sense with reguards to the project brief and ensured that the all expectations have been met for this document.</t>
  </si>
  <si>
    <t>Accepted with deep analysis.</t>
  </si>
  <si>
    <t>Redesign Spread sheets</t>
  </si>
  <si>
    <t xml:space="preserve">Reorganized and beautified the spreadsheets to ensure consistency. </t>
  </si>
  <si>
    <t>Verified that no data was changed and that only formatting was applied for structure and simplicity.</t>
  </si>
  <si>
    <t>Accepted with open arms.</t>
  </si>
  <si>
    <t>Additional constraints from client instruction (CON-009–CON-019)</t>
  </si>
  <si>
    <t>Drafted 11 constraints with engineering implications, interactions and trade-off summaries from verbal client instructions</t>
  </si>
  <si>
    <t>Verified that the contraints given verbally aligned with the generated draft and that all constraits were viable</t>
  </si>
  <si>
    <t>Accepted, Reviwed thouroughly and happy with the result.</t>
  </si>
  <si>
    <t>Decision log entries DEC-008, DEC-009 and the DEC-007 revision</t>
  </si>
  <si>
    <t>Drafted the branching-model decision, the verbal-requirement capture process, and the revision recording the change of basis for the mobile exclusion</t>
  </si>
  <si>
    <t>Verified the updated decision given that one of our constraints changed and ensure that newly added decisions were agreed aponby the whole team.</t>
  </si>
  <si>
    <t>Accepted, all decisions make logical sense and align with the projects deliverables.</t>
  </si>
  <si>
    <t>Reference sourcing for the PED</t>
  </si>
  <si>
    <t>Located and formatted six sources; identified that the 44 × 44 touch target in NFR-1.2 is Apple's HIG figure, not the WCAG 2.2 Level AA minimum of 24 × 24 (SC 2.5.8)</t>
  </si>
  <si>
    <t>Checked the WCAG criterion numbers and levels against W3C directly; confirmed ISO/IEC 25010:2023 supersedes the 2011 edition and renames portability to flexibility</t>
  </si>
  <si>
    <t>Accepted; NFR-1.2 basis corrected to cite Apple rather than WCAG, and the Charter's quality mapping updated to the 2023 characteristic names, also verified relevent and accurate resources.</t>
  </si>
  <si>
    <t>PED v1.0 assembly</t>
  </si>
  <si>
    <t>Drafted the full 13-section document structure, narrative for each section, and the appendices, from the team's existing registers</t>
  </si>
  <si>
    <t>Verified that all combined content was relevant and accurate to the artefacts done by all 3 memebers.</t>
  </si>
  <si>
    <t>Accepted, The PED draft was structured perfectly and flowed accurately to display the outputted artifacts we have created.</t>
  </si>
  <si>
    <t>Team Working Agreement</t>
  </si>
  <si>
    <t>Drafted the agreement, tying §5 review turnaround to RSK-013 and §6 definition of done to RSK-012</t>
  </si>
  <si>
    <t xml:space="preserve">Verified that the terms were relevant and reasonable. </t>
  </si>
  <si>
    <t>Accepted, The draft demonstrated a structured approach to working as a team and overall read well.</t>
  </si>
  <si>
    <t>Baseline conditions C-01 to C-04</t>
  </si>
  <si>
    <t>Drafted four conditions with owners, closure criteria and affected artefacts</t>
  </si>
  <si>
    <t>Verified that the conditions made sense given the timeline and artefacts we produced.</t>
  </si>
  <si>
    <t>Accepted, The 4 drafted conditional acceptances align exactly with the outputs we have created.</t>
  </si>
  <si>
    <t>Repository audit prompt</t>
  </si>
  <si>
    <t>Drafted a read-only audit prompt for Claude Code to check the repository against the governing briefs</t>
  </si>
  <si>
    <t>Ran the audit; verified each finding against the actual files before acting on it — including one finding raised against the PED's own claim about the baseline tag</t>
  </si>
  <si>
    <t>Accepted; findings actioned individually rather than wholesale</t>
  </si>
  <si>
    <t>Project Charter v0.2 ? v0.3 corrections</t>
  </si>
  <si>
    <t>Identified the ISO edition mismatch, the broken D1 deliverable date, missing reference list and blank team names; drafted the §7.1 register reconciliation</t>
  </si>
  <si>
    <t>Verified , This was and oversight by myself and glad that claude was able to pick up the mistake and assist me in correcting it.</t>
  </si>
  <si>
    <t>Accepted, Thank you claude :)</t>
  </si>
  <si>
    <t>Christiaan Burger</t>
  </si>
  <si>
    <t>Risk Register construction and scoring method</t>
  </si>
  <si>
    <t>Drafted 13 candidate project-specific risks derived from the Master Brief s.2 failures and the team's scope, constraint and decision artefacts, each with cause, early-warning indicator, preventive mitigation and contingency. Drafted the probability and impact scale definitions and the 1–2 / 3–4 / 6–9 priority bands.</t>
  </si>
  <si>
    <t>Verified that the scoring method aligned with taught methods during PMM381 and ensured that all drafted risk were real and accurate risks.</t>
  </si>
  <si>
    <t>Accepted and changed , The risks were aligned with real project risks but the method used for calculations was off , corrected it with knowledge gained from PMM 381</t>
  </si>
  <si>
    <t>Forward Engineering Considerations register</t>
  </si>
  <si>
    <t>Drafted 7 forward concerns (security and personal information, migration and cut-over, testability, technology availability, deployment platform, observability, operational cost), each recording why it matters now, the later decision influenced, information still missing and the risk of ignoring it. Drafted the influence mapping showing what each changed in the M1 baseline.</t>
  </si>
  <si>
    <t>Verified that the 7 drafted concers made logical sense and verified that these concerns could become greater risks down the line.</t>
  </si>
  <si>
    <t>Accepted, The drafted concerns highlighted real concrens that we need to be aware of.</t>
  </si>
  <si>
    <t>Repository placement and register file structure</t>
  </si>
  <si>
    <t>Argued placement of the risk and FEC registers against the Appendix C folder semantics, and recommended keeping them as two separate workbooks rather than one, on the ground that .xlsx is a binary blob git cannot merge, so a shared workbook risks losing a member's edits outright. Flagged inconsistent folder casing and the absence of a home for the AI Usage Register.</t>
  </si>
  <si>
    <t>Checked the recommendation against the team's committed folder structure; adopted the two-file split and placed both registers in docs/risk/.</t>
  </si>
  <si>
    <t>Accepted. Two-file split adopted.</t>
  </si>
  <si>
    <t>Branch integration procedure for Member B's work</t>
  </si>
  <si>
    <t>Drafted the git command sequence to merge a teammate's branch, including a pre-merge backup branch, --no-ff to force an attributable merge commit, and the binary-conflict resolution path for .xlsx files. Restated the same procedure for GitHub Desktop on request. Advised that the onward merge to dev must be a reviewed pull request, not a direct push.</t>
  </si>
  <si>
    <t>Requested the GitHub Desktop form after judging the command-line version unsuitable for the team's workflow. Merge not yet executed at time of logging.</t>
  </si>
  <si>
    <t>Accepted as procedure; execution pending.</t>
  </si>
  <si>
    <t>Cross-artefact reconciliation of the registers against the A and B baseline</t>
  </si>
  <si>
    <t>Read all ten of Member A's and Member B's artefacts and checked every cross-reference in the risk and FEC registers against them. Identified that RSK-004's duplicate-detection mitigation has no corresponding requirement among the 47 FRs; that the mitigations behind RSK-009, RSK-010 and RSK-011 had since been delivered by Member B and were still written as future actions; that the SCP-, CFL- and OI- prefixes in use are absent from the PED s.1.5 identifier scheme while DEF- and ASM- are declared but unused; and that three FRs and one NFR remain un-baselined.</t>
  </si>
  <si>
    <t>Challenged the completeness of the FEC portion of the analysis and required a second pass, which produced four further changes that the first pass had missed.</t>
  </si>
  <si>
    <t>Accepted with corrections after a second pass.</t>
  </si>
  <si>
    <t>Repair of the Risk Register calculation chain</t>
  </si>
  <si>
    <t>Diagnosed the #REF! errors in the Priority and matrix cells as a severed external workbook link to the FEC file, created when the combined workbook was split. Repaired the formulas and removed the external link. The first repair produced a file Excel refused to open — a dangling relationship written by the library used to re-save the workbook; rebuilt by editing the file's XML directly so the original structure was preserved.</t>
  </si>
  <si>
    <t>Opened the first repaired file in Excel, found it reported corrupt content and reported the failure rather than accepting the output. Confirmed the rebuilt file opens and that the resulting distribution matches the register.</t>
  </si>
  <si>
    <t>Rejected on first attempt; accepted after rework.</t>
  </si>
  <si>
    <t>FEC register traceability to the requirements baseline</t>
  </si>
  <si>
    <t>Populated the 'Linked FR / NFR / RSK' column, which cited no FR or NFR at all, with mappings to Member B's requirements; recorded FEC-002 as having no requirement coverage, with the reason, rather than leaving it blank. Named the owner, differentiated the status values, and updated the influence-sheet asks against what A and B had actually delivered.</t>
  </si>
  <si>
    <t xml:space="preserve">Verified and updated the column to show accurate content and ensured that the link was accurate. </t>
  </si>
  <si>
    <t>Accepted. Guidance was appreciated.</t>
  </si>
  <si>
    <t>GitHub governance evidence capture plan</t>
  </si>
  <si>
    <t>Drafted the ordered list of branch-protection and review evidence to capture, the framing requirements for each screenshot, and the storage and naming convention. Advised capturing the blocked-merge state first on the ground that it cannot be reconstructed once a pull request is approved.</t>
  </si>
  <si>
    <t xml:space="preserve">Ensured that the proposed solutions were standard and best practice. </t>
  </si>
  <si>
    <t xml:space="preserve">Accepted, used the drafted order list to strusture the current repo to comply with governance. </t>
  </si>
  <si>
    <t>Audit of Member C deliverables against the milestone brief</t>
  </si>
  <si>
    <t>Checked each Member C requirement in the brief against the current artefacts and reported which were met, which were not, and which could not be verified without repository access.</t>
  </si>
  <si>
    <t xml:space="preserve">Verified that the proposed requirements were actually in the Master brief and ensured that they related to the tasks I was assigned to. </t>
  </si>
  <si>
    <t>Accepted, Used the audit to ensure all needed outputs were created.</t>
  </si>
  <si>
    <t>Conversion of risk scoring to a numeric 1–3 scale</t>
  </si>
  <si>
    <t>Replaced the lookup-based Priority formula with direct multiplication and converted the probability and impact columns to numeric values, at the team's request following peer review. Updated the exposure matrix criteria, which would otherwise have silently returned zero counts rather than erroring. Converted the exposure matrix to a P×I score grid and added a separate grid retaining the risk counts. Stored the calculated results in the file after the first attempt left the cells blank.</t>
  </si>
  <si>
    <t>Specified the change following a team member's review of the register. Identified that the Priority and count cells rendered blank in Excel after the first attempt and required the results to be stored rather than recalculated on open.</t>
  </si>
  <si>
    <t>Accepted after rework.</t>
  </si>
  <si>
    <t>Robert Van Der Merwe</t>
  </si>
  <si>
    <t>Requirements Baseline Generation</t>
  </si>
  <si>
    <t>Derived 49 functional and 30 non-functional requirements from Member A's STK/CFL/SCP/CON/DEC identifiers, with 80 Given/When/Then acceptance criteria and the 9-column RTM. Flagged three gaps where a Master Brief capability had no SCP to trace to.</t>
  </si>
  <si>
    <t>I supplied the SAD slide definitions after Claude declined to guess the format, and confirmed the SCP-017/018/019 renumbering was a deliberate controlled change. The constraint-to-NFR mapping check remains outstanding.</t>
  </si>
  <si>
    <t>Accepted; every requirement traces to a Member A identifier and the append-only numbering preserves stability into M2.</t>
  </si>
  <si>
    <t>Project Charter Math</t>
  </si>
  <si>
    <t>Calculated COCOMO Organic (15 kLOC, 41.22 person-months) and PERT estimates, identified the 5.57-week schedule deficit, and derived the 6.39× productivity multiplier needed to close it. Drafted the 29 September velocity trigger with an automatic CON-009 scope-reduction fallback.</t>
  </si>
  <si>
    <t>I selected Organic mode and supplied the milestone dates that collapsed the window to 5.57 weeks. I have not yet recalculated the path variances or COCOMO multipliers, and the PERT summation error was caught by Claude rather than by me.</t>
  </si>
  <si>
    <t>Accepted with the correction; I retained the productivity re-baseline and Claude attached a measurement trigger instead of a certainty claim.</t>
  </si>
  <si>
    <t>Financial Viability</t>
  </si>
  <si>
    <t>Modelled two investment cases: full commercial cost (NPV -R1 035 555 at 3 years, payback 66.5 months) and incremental institutional cost (NPV +R784 341, payback 2.09 months). Flagged that CON-010's 100 concurrent users conflicts with the 3 000 requests/year benefit assumption.</t>
  </si>
  <si>
    <t>I selected the combined benefit basis of staff time saved plus avoided licence cost. Checking the payback interpolation against the PMM281 formula sheet is outstanding, as Claude flagged its reading of Cp, Ci and Cf as an unconfirmed interpretation.</t>
  </si>
  <si>
    <t>Accepted for review; Case A is retained despite being unflattering because it is the institution's real exposure after the project ends.</t>
  </si>
  <si>
    <t>Risk Register Consolidation</t>
  </si>
  <si>
    <t>Audited Member C's 13 risks against the 09 September constraints and added 10 covering schedule capacity, the AI productivity assumption and the 22 September stack deadline. Built the ordinal-to-monetary bridge so the charter's RE and RRL are reproducible from C's register.</t>
  </si>
  <si>
    <t>Verified; Cross reference checked with Member C that ten added risks aligned with project outputs and realistic risk expectations</t>
  </si>
  <si>
    <t>Accepted; Member C verfied accuracy and consistency among the proposed risks added.</t>
  </si>
  <si>
    <t>Claude Code (Claude Opus 5.5)</t>
  </si>
  <si>
    <t>Data and persistence baseline generation (M2 criterion C)</t>
  </si>
  <si>
    <t>Drafted the data baseline: entity/ownership table, Mongoose schemas for requests, requestHistory, notifications, reportingCounts, auditLog, users/roles/groups/categories; append-only constraint DB-01 at three layers; index justifications; storage and throughput arithmetic against free-cluster limits.</t>
  </si>
  <si>
    <t>Manual inspection against MongoDB documentation and project constraints (Master Brief, M2 brief, Assignment 2, baselined registers). Free-cluster limits and trigger semantics checked against the MongoDB Atlas documentation pages; append-only guard behaviour tested with a no-database probe against mongoose 8.24.4; bulkWrite hook verified to block updates and pass inserts.</t>
  </si>
  <si>
    <t>Accepted with modifications: collection names kept as in the DEC-011 component diagram; status values, roles and mandatory fields aligned to FR-6.1, FR-1.2 and FR-2.2 rather than to the existing code.</t>
  </si>
  <si>
    <t>Probe showed bulkWrite and Model.collection bypass the schema guard (review comment R-11), which added database-role layer 3. Assignment 2's premise that triggers run inside the transaction holds for SQL but not Atlas; recorded as a divergence in DEC-016.</t>
  </si>
  <si>
    <t>ADR drafting: DEC-003, DEC-010, DEC-015, DEC-016, DEC-017; PROC-001; CR-001 to CR-004</t>
  </si>
  <si>
    <t>Drafted five decision records, the manual anonymisation procedure with its mongosh script, the backup/restore scripts and four change requests.</t>
  </si>
  <si>
    <t>Manual inspection against MongoDB documentation and project constraints (Master Brief, M2 brief, Assignment 2, baselined registers). Idempotency-Key semantics checked against IETF draft-ietf-httpapi-idempotency-key-header-07; POPIA s.14 retention exception checked against published commentary; RFC 9110 status semantics reviewed.</t>
  </si>
  <si>
    <t>Accepted with modifications made by me: 'bi-monthly' confirmed as twice monthly (14-30 day anonymisation window); Node runtime set to 22 minimum (&gt;=22.0.0) instead of the AI-proposed Node 24; 12-hour backup cadence and free-cluster retention confirmed.</t>
  </si>
  <si>
    <t>AI identified that an every-two-months schedule could not satisfy the 30-day rule, and that FR-6.7 conflicts with anonymisation (raised as OI-13 / CR-003).</t>
  </si>
  <si>
    <t>RTM updates (v0.4 to v0.5)</t>
  </si>
  <si>
    <t>Populated the data/persistence column for all 62 outstanding rows, corrected 10 populated cells, added DEC-015/016/017 design and ADR references; generated the v0.5 xlsx and CSV by script.</t>
  </si>
  <si>
    <t>Manual inspection against MongoDB documentation and project constraints (Master Brief, M2 brief, Assignment 2, baselined registers). Script asserted zero remaining 'Pending - data model' cells and 79 rows; spot-checked FR-2.2, FR-6.7, NFR-1.4 and NFR-4.2 in the output.</t>
  </si>
  <si>
    <t>Accepted.</t>
  </si>
  <si>
    <t>Handover stated 17 of 62 rows (I had assumed 45 remaining); direct count showed 62 outstanding of 79. Two populated cells (FR-2.6, NFR-3.2) held text copied from other rows. AI's change notes initially overstated design entries (30 rows); corrected to 18.</t>
  </si>
  <si>
    <t>Engineering review of Ethan's application slice (PRs #57, #58, #60)</t>
  </si>
  <si>
    <t>Produced 22 review comments (R-01 to R-22) with file and line anchors; compiled into docs/M2_BACKEND_CORRECTIONS.md.</t>
  </si>
  <si>
    <t>Manual inspection against MongoDB documentation and project constraints (Master Brief, M2 brief, Assignment 2, baselined registers). Ran npm install and npm test (16 passing, 1 file failing on import); inspected each cited line; confirmed requirement wording in the registers.</t>
  </si>
  <si>
    <t>Accepted with one point rejected: the AI suggested the PRs may have merged without two approvals; I confirmed both reviewers approved, and the governance remark was removed.</t>
  </si>
  <si>
    <t>Found router and guard committed under tests/ (dev broken), status/role/mandatory-field mismatches with FR-6.1/FR-1.2/FR-2.2, and non-atomic status change and history write (DEC-016).</t>
  </si>
  <si>
    <t>Build structure fixes, repository integration and configuration management</t>
  </si>
  <si>
    <t>Moved requestRoutes.js and authorise.js from tests/ to src/; set engines to &gt;=22.0.0; extracted scripts to scripts/; created Decision Log v0.5, Risk Register V0.5, Open Items v0.3, Acceptance Criteria v0.3, NFR v0.3, PED v1.6; archived superseded versions; wrote the version audit report.</t>
  </si>
  <si>
    <t>Manual inspection against MongoDB documentation and project constraints (Master Brief, M2 brief, Assignment 2, baselined registers). npm test 23/23 after the move; npm install on Node 26 without EBADENGINE; bash -n and node --check on scripts; register workbooks re-read to confirm rows, formulas and merged cells.</t>
  </si>
  <si>
    <t>Accepted with modifications made by me: PED renamed from v2.0 to v1.6 and Open Items from v0.4 to v0.3 under the team versioning rules (X.0 reserved for signed-off baselines).</t>
  </si>
  <si>
    <t>AI noted .nvmrc cannot hold a semver range (kept at 22); the NFR register still showed NFR-4.2 as blocked though the PED cited v0.3; the archived 'v0.2' Open Items file already carried v0.3 content.</t>
  </si>
  <si>
    <t>Mongoose model alignment, M2 completion audit and PR description</t>
  </si>
  <si>
    <t>Updated src/models to match the data baseline (campusId, version/ETag field, baseline status and role sets, additional baseline collections) with model tests; drafted docs/M2_PERSON_B_AUDIT.md and docs/PR_DESCRIPTION_DRAFT.md.</t>
  </si>
  <si>
    <t>Manual inspection against MongoDB documentation and project constraints (Master Brief, M2 brief, Assignment 2, baselined registers). tests/models.test.js: 16 assertions (FR-6.1 and FR-1.2 value sets, FR-2.2 mandatory fields, campusId, anonymised validity, append-only refusal of six mutation paths incl. bulkWrite, role validation); full suite 39/39.</t>
  </si>
  <si>
    <t>Accepted; model/domain status mismatch left for Ethan's R-07 correction and disclosed in the PR description.</t>
  </si>
  <si>
    <t>Aligning the models to FR-6.1 makes the model disagree with src/domain/requestStatus.js until R-07 is fixed; flagged as a merge dependency.</t>
  </si>
  <si>
    <t>Merge conflict resolution: dev (PR #59) and task/Christiaan-registers-M2 (PR #65) into task/M2-PersonB</t>
  </si>
  <si>
    <t>Resolved the Decision Log, PED and PED v1.5 rename conflicts. Renumbered Member B identifiers (DEC-014–016 → DEC-015–017, RSK-016–018 → RSK-018–020, §6A/§6B → §6B/§6C) across 25 text files and 4 registers. Merged the two parallel PED v1.8 drafts into PED v1.9.</t>
  </si>
  <si>
    <t>Three-way merges against the true common base (PED v1.5, then v1.7); scripted line-by-line check that no line of the other author was lost; ID substitution unit-tested before use; register cells re-scanned by script; npm test after each merge (39/39, then 80/80).</t>
  </si>
  <si>
    <t>Accepted. I chose the renumbering direction (Christiaan's IDs kept, as merged first) and the PED numbering.</t>
  </si>
  <si>
    <t>Both PRs had allocated DEC-014, RSK-016/017, §6A and PED v1.6 to different content. OI-13 collided with Ethan's PR #62. Christiaan's RSK-016/017 were cited in the PED but absent from the register until his V0.6.</t>
  </si>
  <si>
    <t>Code review of PR #62 and PR #63; Open Items v0.4; OpenAPI contract</t>
  </si>
  <si>
    <t>Drafted the PR #62 review (transition model, FR-1.5 guard, Mongoose dotted-path updates) and verified the B-1 to B-4 fixes in PR #63. Added OI-14 and OI-15 (Open Items v0.4). Wrote docs/api/openapi.yaml for POST /requests/{id}/transitions.</t>
  </si>
  <si>
    <t>Findings reproduced by executing the code: Mongoose 8.24.4 update casting and validators, transition/role enumeration, HTTP requests through the Express router and RFC 9457 handler. OpenAPI file validated with openapi-spec-validator (3.1) and checked against src/errors.js and the route.</t>
  </si>
  <si>
    <t>Accepted. I decided to combine OI-15 with Ethan's transition-model item so his code references stay valid.</t>
  </si>
  <si>
    <t>PR #62: security-category requests could not be closed or rejected by anyone; lastActorRole was never written, so audit rows carried actorRole null; Idempotency-Key was optional contrary to DEC-015. All three fixed in PR #63.</t>
  </si>
  <si>
    <t>DEC-002 weighted technology comparison matrix (M2 brief §5.5)</t>
  </si>
  <si>
    <t>Drafted docs/decisions/ADR/DEC-002_Technology_Stack_v0.1.md: the eight §5.5 criteria with constraint-derived weights, 1–5 scores with cited evidence for MERN, PostgreSQL and MySQL variants, and a sensitivity table.</t>
  </si>
  <si>
    <t>Arithmetic checked by script (74.0 / 72.0 / 68.0). Each score cross-checked against A2 §3.2, §3.6 and §5.6, DEC-016, DEC-003 and the Decision Log. Equal scores given where the evidence does not tell the candidates apart.</t>
  </si>
  <si>
    <t>Accepted as a draft, pending review of the weights by the decision owner (E. Lindsay) and the team.</t>
  </si>
  <si>
    <t>The matrix supports MERN only narrowly, on schedule and hosting; PostgreSQL scores higher on requirements fit and leads if schedule is weighted out. Recorded as a retrospective formalisation, not as what produced the decision.</t>
  </si>
  <si>
    <t>RTM v0.7: implementation and verification evidence</t>
  </si>
  <si>
    <t>Populated Implementation and Verification evidence for FR-1.3, FR-1.5, FR-2.2, FR-3.5 and FR-6.1 to FR-6.7 with file and test references; updated the status summary sheet and the CSV.</t>
  </si>
  <si>
    <t>Each reference checked against src/ and the requirement tags in tests/; npm test 80/80; CSV diff confirmed 22 cells changed, in the two evidence columns only.</t>
  </si>
  <si>
    <t>Accepted. FR-1.5, FR-2.2 and FR-3.5 recorded as partial (no read or submission endpoint yet) rather than as implemented.</t>
  </si>
  <si>
    <t>RTM v0.6 still carried all 79 rows as Planned although the slice implements 11.</t>
  </si>
  <si>
    <t>PED v1.9 integration and removal of stale working notes</t>
  </si>
  <si>
    <t>Built PED v1.9 from the two v1.8 drafts: history rows sequenced, Appendix A and the register note cite RTM v0.7, Risk Register V0.6, FEC V0.3, Open Items v0.4, AI Usage v0.6 and the DEC-002 ADR; §6C gained the DEC-002 matrix summary; §7.2 updated. Removed docs/M2_PERSON_B_AUDIT.md, docs/PR_DESCRIPTION_DRAFT.md and docs/VERSION_AUDIT_REPORT.md.</t>
  </si>
  <si>
    <t>Scripted diff of v1.9 against both v1.8 drafts to confirm both authors' content is present; repository-wide search for references to the removed notes.</t>
  </si>
  <si>
    <t>Christiaan's v1.8 cited Open Items v0.3 and FEC v0.2 in Appendix A although FEC V0.3 was in his own change; the PED register note referenced docs/VERSION_AUDIT_REPORT.md, which is being removed.</t>
  </si>
  <si>
    <t xml:space="preserve">Claude </t>
  </si>
  <si>
    <t>Architecture diagrams</t>
  </si>
  <si>
    <t>Drafted the logical, module and physical diagrams from §6A</t>
  </si>
  <si>
    <t>Accepted</t>
  </si>
  <si>
    <t>The DEC-011 diagram leaves out the data layer. This is recorded in §6A.5 as a readability choice, not a contradiction</t>
  </si>
  <si>
    <t>CI workflow and PR template</t>
  </si>
  <si>
    <r>
      <t xml:space="preserve">Drafted </t>
    </r>
    <r>
      <rPr>
        <sz val="10"/>
        <color theme="1"/>
        <rFont val="Arial Unicode MS"/>
      </rPr>
      <t>ci.yml</t>
    </r>
    <r>
      <rPr>
        <sz val="11"/>
        <color theme="1"/>
        <rFont val="Aptos Narrow"/>
        <family val="2"/>
        <scheme val="minor"/>
      </rPr>
      <t xml:space="preserve"> (npm ci, tests on Node 22, layer-boundary check, Gitleaks secret scan) and the PR template</t>
    </r>
  </si>
  <si>
    <r>
      <t xml:space="preserve">Ran it on PR #66 and both jobs passed. Confirmed the layer check passes on the current </t>
    </r>
    <r>
      <rPr>
        <sz val="10"/>
        <color theme="1"/>
        <rFont val="Arial Unicode MS"/>
      </rPr>
      <t>src/</t>
    </r>
    <r>
      <rPr>
        <sz val="11"/>
        <color theme="1"/>
        <rFont val="Aptos Narrow"/>
        <family val="2"/>
        <scheme val="minor"/>
      </rPr>
      <t>. Set both jobs as required status checks</t>
    </r>
  </si>
  <si>
    <r>
      <t xml:space="preserve">Accepted with changes. I switched from </t>
    </r>
    <r>
      <rPr>
        <sz val="10"/>
        <color theme="1"/>
        <rFont val="Arial Unicode MS"/>
      </rPr>
      <t>.nvmrc</t>
    </r>
    <r>
      <rPr>
        <sz val="11"/>
        <color theme="1"/>
        <rFont val="Aptos Narrow"/>
        <family val="2"/>
        <scheme val="minor"/>
      </rPr>
      <t xml:space="preserve"> to </t>
    </r>
    <r>
      <rPr>
        <sz val="10"/>
        <color theme="1"/>
        <rFont val="Arial Unicode MS"/>
      </rPr>
      <t>node-version: 22</t>
    </r>
    <r>
      <rPr>
        <sz val="11"/>
        <color theme="1"/>
        <rFont val="Aptos Narrow"/>
        <family val="2"/>
        <scheme val="minor"/>
      </rPr>
      <t xml:space="preserve"> because </t>
    </r>
    <r>
      <rPr>
        <sz val="10"/>
        <color theme="1"/>
        <rFont val="Arial Unicode MS"/>
      </rPr>
      <t>.nvmrc</t>
    </r>
    <r>
      <rPr>
        <sz val="11"/>
        <color theme="1"/>
        <rFont val="Aptos Narrow"/>
        <family val="2"/>
        <scheme val="minor"/>
      </rPr>
      <t xml:space="preserve"> wasn't on dev yet, and kept the pipeline to stage 1</t>
    </r>
  </si>
  <si>
    <t>The layer check is text-based and can't catch cross-module reads. This limitation is recorded in PED §11.1</t>
  </si>
  <si>
    <t>PR review assistance</t>
  </si>
  <si>
    <t>Analysed the diffs and test output, and drafted short review comments</t>
  </si>
  <si>
    <t>Ran npm test locally for each PR (80/80 on the last one), read the diffs myself, and checked the ID numbering</t>
  </si>
  <si>
    <t>Accepted. I shortened the comments and posted them in my own words</t>
  </si>
  <si>
    <t>The DEC numbering collision in #62 (Robert also found it). My own FEC version slip had carried into v1.9</t>
  </si>
  <si>
    <t xml:space="preserve">PED v1.10 and README </t>
  </si>
  <si>
    <t>Scanned the PED for stale version references, drafted the extra text, and wrote the README structure and contributing sections</t>
  </si>
  <si>
    <t>Reviewed the diff against v1.9 line by line, checked every version against the file in the repo, and verified the two new references</t>
  </si>
  <si>
    <t>Duplicate PED v1.8 and RTM v0.6 files were left in the current folders after the merges, so I removed them</t>
  </si>
  <si>
    <t>ASRs and architecture baseline</t>
  </si>
  <si>
    <t>Drafted the ASR table from the NFR, CON, DEC and RSK registers, the screened-out NFRs, the four-alternative comparison, layers, modules, tiers, DEC-014 and the sign-off table</t>
  </si>
  <si>
    <t>I checked every source ID against the registers and every reference on Google Scholar. The PR was reviewed by Ethan and Robert</t>
  </si>
  <si>
    <t>My first attempt edited PED v1.5 in place. Ethan rejected it and I redid it as v1.6. The Contents numbering also broke and had to be fixed</t>
  </si>
  <si>
    <t>Risk Register V0.6, FEC Register V0.3, RTM v0.6, PED v1.8</t>
  </si>
  <si>
    <t>Drafted RSK-016 and RSK-017, the re-scores and the M2 review column, and extended the exposure formulas. Drafted the FEC M2 influence sheet. Filled the RTM ASR and module columns for all 79 rows (script-assisted)</t>
  </si>
  <si>
    <t>An automated find-and-replace changed the FEC M1 version in §1.7.1 to V0.3 and missed Appendix A. Robert caught Appendix A in v1.9, and I fixed §1.7.1 in v1.10. An Excel lock file almost got committed</t>
  </si>
  <si>
    <t>Compared each diagram against the §6A text and Robert's deployment section</t>
  </si>
  <si>
    <t>Accepted with changes. I chose the closed layered modular monolith over the three alternatives, and simplified the wording after Ethan's review.</t>
  </si>
  <si>
    <t>Accepted. I closed RSK-008 as superseded instead of re-scoring it, and kept RSK-012 open as mitigated at Ethan's request.</t>
  </si>
  <si>
    <t>Recalculated the register in LibreOffice (9 High, 9 Medium, 2 closed or materialised). Checked each re-score against DEC-005, DEC-017, DEC-003 and DEC-010. Spot-checked RTM rows against §6A.3.1 and §6A.6. Robert reviewed it</t>
  </si>
  <si>
    <t>Application slice corrections, review comments R-01 to R-22</t>
  </si>
  <si>
    <t>Rewrote the domain, service, repositories, routes and tests against Robert's 22 review comments. Added the unit-of-work port (DEC-016), the RFC 9457 error handler and the single authorisation rule set in src/domain/accessRules.js</t>
  </si>
  <si>
    <t>Ran npm test (80/80 on Node 22). Checked every status and role value against the requirement text in the RTM rather than against the previous code. Re-ran the route-table negative check by registering an unguarded route and confirming the suite failed, then reverting; captured at docs/evidence/R-01_negative_verification.txt</t>
  </si>
  <si>
    <t>The original slice invented status values (Submitted, Acknowledged) and role names (Department Staff, Department Head) that contradict FR-6.1 and FR-1.2, and the tests cited those requirement IDs while asserting the wrong values. Robert caught it in review. The correct values were in the RTM I built myself. Fixed structurally rather than patched: the domain now imports STATUS and ROLE from src/models/_shared.js so it has no copy to drift</t>
  </si>
  <si>
    <t>PR #62 second-round corrections, B-1 to B-4</t>
  </si>
  <si>
    <t>Applied the four blocking fixes and swept 48 identifier references across 14 files for the DEC renumbering</t>
  </si>
  <si>
    <t>npm test 80/80. Checked the DEC remap was applied simultaneously rather than cascading (DEC-014 to DEC-015 must not then become DEC-016). Asked for a property test over every disposition target rather than two example cases, so the same class of gap cannot reappear</t>
  </si>
  <si>
    <t>B-1: restricting security-category requests to the Security Officer without also giving them disposition rights meant no role could close or reject one. Those requests would never reach closure.closedAt, and PROC-001 selects on closure, so the records holding the most sensitive personal data would have been the only ones never anonymised (CON-007). A least-privilege rule had created a retention exposure. B-2: lastActorRole was written from actor.role, which is always undefined; Mongoose strips undefined keys, so every audit row would have carried actorRole: null with no error anywhere</t>
  </si>
  <si>
    <t>RTM v0.8 — NFR-3.3 evidence and evidence-level corrections</t>
  </si>
  <si>
    <t>Audited the eleven implementation and verification cells Robert added in #67 against src/ and tests/. Drafted the NFR-3.3 cells and the component-level header note</t>
  </si>
  <si>
    <t>Checked that every file, function and test named in the eleven cells exists and does what the cell claims. Pasted the cells into the workbook by hand rather than script-writing it, to avoid losing the conditional formatting, and checked the requirement ID in column A before each paste</t>
  </si>
  <si>
    <t>Accepted with changes. I corrected FR-1.3 and FR-6.7 from Implemented to Partially implemented in v0.8 myself rather than blocking Robert's PR on the deadline, and approved #67 with the corrections recorded</t>
  </si>
  <si>
    <t>Nothing in src/ assembles the routes, service, repositories and unit of work into a running application — no Express app, no listen(), and no session middleware — so every "Implemented" cell overstated what an assessor would find. Recorded as a header note covering the whole matrix. FR-6.7 also claimed "prevent any user" while its own caveat said layer 3 is M3. Separately, a stray paste had put the text "K68" into K41 (FR-7.1) instead of the planned status</t>
  </si>
  <si>
    <t>DEC-011 and DEC-012 diagrams (PED Figures 1 and 2)</t>
  </si>
  <si>
    <t>Checked every label in both Mermaid sources against the current code, redrew both, and rendered the PNGs the PED embeds</t>
  </si>
  <si>
    <t>Compared every participant, route, function and refusal reason against src/ rather than against the decision records, since the records are what the diagrams had drifted from. Checked the rendered images for clipped labels and shortened the transaction box label where it overflowed</t>
  </si>
  <si>
    <t>Accepted with changes. Sources and images committed together so they cannot disagree</t>
  </si>
  <si>
    <t>DEC-012 Path C drew a flow the authorisation rules forbid: a staff viewer passing the service-layer check and being restricted at the serialiser, which OI-15 makes impossible. It also restricted "reporter identity", which appears in no requirement — a value I invented when the diagram was first drawn, the same failure as the status values in Row 1. DEC-011 still showed the two writes as independent, the arrangement R-15 objected to. Drawing Path C correctly raised a requirements conflict, now OI-16: read literally, FR-1.5 withholds a requester's own description from them, which FR-3.5 and FR-3.6 both appear to assume they can see</t>
  </si>
  <si>
    <t>PED v1.11 — alignment to RTM v0.8 and the corrected diagrams</t>
  </si>
  <si>
    <t>Diffed the outstanding corrections against Christiaan's v1.10, withdrew the ones he had already fixed, and drafted the remainder as current text against proposed replacement</t>
  </si>
  <si>
    <t>Accepted with changes. Kept Christiaan's approach to §10.6 — retaining the original paragraph and adding an updated one — over my own proposal to replace it, because it applies the retain-and-supersede rule inside a section</t>
  </si>
  <si>
    <t>Read each proposed replacement against the current text before approving it. Confirmed the RTM, Open Items and Decision Log versions cited in the PED match the files actually in the repository</t>
  </si>
  <si>
    <t>PED v1.0 §10.2 states "Ten entries: seven decided, three deferred" but its table lists nine (DEC-001 to DEC-009), six decided and three deferred. Both numbers are wrong and §12.1 of v1.0 repeats the error. Recorded as a note in the current version rather than corrected, because v1.0 is the baselined M1 record and §1.4 does not permit rewriting it — correcting it would contradict the supersession argument the same document makes in §10.5</t>
  </si>
  <si>
    <t>Verification tests for FR-6.3 atomicity and FR-6.5</t>
  </si>
  <si>
    <t>Proposed and wrote three tests in tests/statusTransitionService.test.js, after I asked for the assertions to be set out before any code was written</t>
  </si>
  <si>
    <t>Ran npm test (83/83, up from 80). Verified each assertion by breaking the thing it protects and confirming the failure, then reverting: the history write moved outside unitOfWork.run(), the service swallowing the history-write error, and fieldsFor no longer writing resolution.*</t>
  </si>
  <si>
    <t>The existing DEC-016 test asserted only the order of the two writes, so it still passed with the history write moved outside the transaction — the atomicity RTM v0.8 cites this file for was never actually verified. The FR-6.5 resolution.* write had no test at all. Both gaps were in tests I had written earlier and believed were sufficient, and both were found by review rather than by the suite</t>
  </si>
  <si>
    <t>M3 Phase 0 — design review, records and the composition root</t>
  </si>
  <si>
    <t>Interrogated the Phase 0 design through 23 rounds of questions before any code was written. Drafted DEC-018, DB-01 v0.3, DEC-003 v0.2, the Technical Debt Register and the Defect Register. Built the composition root, session middleware, authentication service, session repository and the three public routes, with 132 tests and 26 negative verifications</t>
  </si>
  <si>
    <t>Accepted with changes</t>
  </si>
  <si>
    <t>Four. (1) A proposed idle-expiry tolerance of "30 to 31 minutes" was backwards and would have breached AC-NFR-3.4 by letting a session survive 30:30 of inactivity; corrected to 29–30 minutes before anything was drafted, and now pinned by NV-05. (2) I recorded the FR-1.6 group-permission gap as an open item on the assumption the combination rule was unspecified; DB-01 §3.7 specifies union, so it is an implementation gap and became TD-002. (3) Review of the Risk Register found its band colouring and filter stopped short of RSK-016 to RSK-020, and the OpenAPI contract never listed INTERNAL_ERROR — both logged as DEF-001 and DEF-002 and fixed, with a contract test added so the second cannot recur. (4) The security-category protection holds only because groups carry no roles and the gate checks role first, not because §3.7 prevents it; that constraint is now recorded in TD-002 and enforced by two tests rather than remembered</t>
  </si>
  <si>
    <t>132/132 tests on Node 22 with no new dependencies. Every negative verification was run by breaking the thing the assertion protects, confirming the expected test failed, then restoring and confirming the suite green and src/ unchanged — recorded in docs/evidence/M3-P0/. Each record states what it does not show; NV-08 proves the dummy hash is called, not that timing is equal. Read the seven key files myself before marking the PRs ready for review. DB-01 v0.3 and DEC-003 v0.2 go to R. van der Merwe for owner review rather than approval</t>
  </si>
  <si>
    <t>M3 Phase 0 — smoke run against the Atlas test cluster, and RTM v0.9</t>
  </si>
  <si>
    <t>Ran the SMOKE-01 reachability check against the test cluster and drafted its evidence record; drafted all 37 RTM v0.9 cells and the tab name; ran a cell-by-cell comparison of v0.9 against v0.8; drafted the notice to R. van der Merwe and C. Burger about the cells corrected in their columns</t>
  </si>
  <si>
    <t>Smoke 6/6, exit code 0, as civicconnect-app on Node 22. Cells pasted into the workbook by hand rather than script-written, to protect the formatting and filter; cell references and requirement IDs checked in column A before each paste. The cell-by-cell comparison was run four times; the workbook was not committed until every difference outside the 37 cells was either reverted or confirmed as deliberate</t>
  </si>
  <si>
    <t>Four. (1) The draft evidence file stated that Mongoose's createIndexes "are refused" — the run never observed that, because Mongoose swallows the error; softened to "would be refused under DEC-003 v0.2's grants" before commit. (2) FR-1.1 was drafted as partial although my instruction named only FR-1.4 and NFR-1.4, on the grounds that AC-FR-1.1 requires an authentication prompt and no user interface exists; the challenge was correct and I accepted it. (3) The comparison caught two errors of my own in the Status summary sheet: a formula that made it report 352 requirement rows instead of 79 by summing seven columns' counts, and a stray misspelt "Oustanding" row. Neither would have been visible in review. (4) A summary label reading "evidence completeness 64%" was flagged as overstating, because four of the seven columns are not evidence and the two that are sit at 21.5%; relabelled to "column completeness"</t>
  </si>
  <si>
    <t>M3 §9 CI quality gates — static analysis, dependency audit, CodeQL — and the secret scan's coverage</t>
  </si>
  <si>
    <t>Read the existing CI workflow and reported what it already did before changing it. Drafted the ESLint configuration (defect-catching rules only, no stylistic rules), the dependency-audit and CodeQL jobs and the workflow comments, removed one unused constant found by the new lint check, and opened draft PR #86. Reconciled the Gitleaks "commits scanned" figure against git's commit count by downloading Gitleaks v8.18.4 and scanning each commit on its own. Recommended the layer boundary check for the M3 §9 deliberate failure and ruled out the secret scan. Closed the binary gap the reconciliation exposed: wrote scripts/ci/extract-office-documents.sh, which unzips every committed version of every Office document so Gitleaks can scan its text, and added it to the secret scan job. Removed a duplicate AI Usage Register v0.10 from the live folder</t>
  </si>
  <si>
    <t>npm test 132/132, npm run lint clean, npm audit 0 vulnerabilities, all six checks green on #86. The ESLint config was checked against a seeded snippet: a loose ==, a self-comparison, an undeclared global and ${} in a plain string all failed as intended. The Gitleaks binary was checked against the release checksum before it was run. The rule for which commits Gitleaks does not count was predicted from git independently and matched the 8 commits Gitleaks skipped exactly; a first version of the rule predicted 19 and was rejected. The binary-content gap was confirmed in a throwaway repository, never in the project repository: the same token was missed inside a workbook and found as plain text. The fix was proven the same way. A fake token in a workbook version that was then overwritten, so it existed only in history, was missed by the history scan and found by the extraction step; a workbook that never held a token passed; a token in a non-zip lock file was found. In CI the step extracted all 82 workbook versions in the history with no findings. The duplicate register was confirmed byte-identical to the Oudated copy (same git blob) before it was deleted</t>
  </si>
  <si>
    <t>Accepted with changes. npm audit kept at high rather than moderate, because a gate reporting advisories with no fix path gets ignored or bypassed. The unused constant cleared in the same PR and not logged as a defect, being a lint finding rather than a defect — the Defect Register is for defects. --log-opts added so the scanned range is stated by a flag rather than inferred from a count. The binary-file gap closed within a 20-minute timebox rather than recorded, with a risk entry as the stated fallback had it not been closed; it took three minutes and is proven by the fake-token test. The duplicate v0.10 deleted from the live folder as housekeeping, no defect row. The unplanned CI failure on 4a1b380 cited in the PR body alongside the planned layer-boundary break, as evidence that a required check caught a real mistake nobody arranged</t>
  </si>
  <si>
    <t>Six. (1) My explanation for the 72-against-79 gap, that dev had grown since the CI run, was wrong: the run was triggered on 8728439, which was still dev's head, and dev had 79 non-merge commits at that SHA. Claude checked the count at that SHA instead of accepting the explanation. (2) Claude's own interim explanation, "a steady 7 older commits", was also wrong: 8 commits are uncounted, and the gap looked like 7 because CI also scans one commit on another branch. (3) The first ESLint run reported 17 errors in 4 files; 14 were the configuration's fault (mongosh scripts linted as Node modules) and 2 came from a rule that flags harmless code. The configuration was corrected and the rule dropped, leaving the one real finding. (4) Passing --log-opts="--all --full-history" did not change the count (75 locally with and without it, 75 in CI): it states the range, it does not widen it, because it is already the default. (5) The count is explained (Gitleaks does not count a commit whose only changes are binary edits or deletions; here, 8 .xlsx-only register commits), but the same cause means a secret inside an .xlsx, .docx or .pdf is never detected, in history or in the current tree. The check's name, "Secret scan (full history)", does not reveal that. It was closed for Office documents rather than recorded, by extracting and scanning every workbook version; images remain uncovered, as they are not text containers. (6) Claude's first commit of the extraction script left it non-executable, and the CI run on that commit (4a1b380) failed with "Permission denied", exit code 126. The next commit (bfaafa4) fixed it and passed. Claude's first draft of this entry claimed it had caught the mode before CI ran; it corrected that after checking the run history</t>
  </si>
  <si>
    <t>PR #89 (12/10–13/10/2026): read endpoint GET /api/v1/requests/{id} (provisional, FR-4.2 pending OI-01), thin React client, E2E cases, negative verifications NV-27 to NV-82, register updates, and the pre-merge correction of citations to uncommitted files</t>
  </si>
  <si>
    <t>12/10: drafted the read endpoint (route, query service, the browser-safe shared/domainValues.js) and its tests; the thin client in client/ and tests/clientBoundary.test.js; the Playwright E2E specs and their support module; the sabotage runs and records NV-27 to NV-82; the DEC-019 ADR; the cell text for Open Items v0.6 (OI-17 to OI-19), Technical Debt Register v0.2 (TD-003, TD-004), Defect Register v0.3 (DEF-017) and Decision Log v0.8 (DEC-019); the .gitleaksignore entries; the PR description. 13/10: checked every open PR's head, checks and approvals against the rulesets; reviewed PR #92 and PR #93 against the repository; after R. van der Merwe's review found six files citing local, uncommitted files, searched the whole branch, found the same sources cited under other names in 68 files, repointed 64 to committed sources and published the E2E test plan as docs/quality/M3_E2E_Test_Plan_v0.1.md with its publication edits listed; drafted Decision Log v0.8 G23/H23, OI-20, the Open Items B2 note and the DEC-019 ADR corrections</t>
  </si>
  <si>
    <t>npm test 175 tests, 167 pass, 8 skipped, 0 fail; npm run lint clean. Each NV record shows the named test failing on the sabotage and the file restored to its recorded SHA-256. The local E2E run is recorded (exit code 0; E2E-2b an expected failure with its 422 quoted). The published plan's body was diffed against the original: only the six listed edits differ and §7, which the NV records cite for their predictions, is byte-identical; its last-modified time (17:05 UTC 12/10) precedes the first E2E run (21:22 UTC) and is recorded as a local file time, not a repository record. The NV-55, NV-60 and NV-61 edits were checked in the committed blobs to leave the six fingerprinted hash lines and the line endings unchanged. Workbook cells were pasted by hand and compared cell by cell against the previous version (Decision Log: exactly G23 and H23; Open Items: B2, the new row, the note moved with its merge). CI 6/6 on the final head; after the merge, dev's push-run secret scan was clean and de84ab1 was confirmed in dev's history</t>
  </si>
  <si>
    <t>Accepted with changes. FR-4.2 recorded as provisional, not verified. Merged with a merge commit so that the commit the .gitleaksignore fingerprints name stayed in dev's history. R. van der Merwe's requested change was accepted and widened from six files to every citation on the branch. A release gate written into the E2E run record was removed from the evidence and recorded in DEC-003 v0.3 instead, then cited from the run record. Where a citation had no committed source, the source was published (the test plan) rather than the citation deleted</t>
  </si>
  <si>
    <t>Seven. (1) Claude had written citations of local, uncommitted AI tooling files into committed evidence, tests and an ADR during the build, under several names ("CLAUDE.md", "project instructions", "the plan", "the brief", "plan D1/D3/D12", "task 1/4"), including first-person tool text in one index. R. van der Merwe's review found six; the branch-wide search found 68. (2) The first client boundary test missed status values written as JSX text (NV-65). (3) NV-43 is not caught by npm test, only by E2E-1, which does not run in CI. (4) NV-76, NV-77 and NV-80 were caught one step earlier than predicted, so three later E2E assertions are not shown to work by any NV. (5) Two tests fail intermittently (DEF-013, DEF-016); recorded as they happened, never re-run to green. (6) Excel's save removed a redundant applyAlignment flag from Open Items B2:H2; the cell-by-cell comparison caught it and it was judged rendering-neutral before commit. (7) Claude drafted another member's AI Usage Register entry on 12/10, contrary to Team Working Agreement §8; it was not pasted, and the #92 entry was not drafted for the same reason</t>
  </si>
  <si>
    <t>PR #94: embedded provenance metadata removed from the three PED architecture figures, pixels unchanged; M3-P0 index citation; OI-20</t>
  </si>
  <si>
    <t>Found an embedded C2PA provenance manifest (a caBX chunk) in docs/PED/PED/Media/architecture-logical.png, -modules.png and -physical.png while searching the repository for references to local AI tooling. Wrote a script that copies every PNG chunk except caBX byte for byte, and a decoder that compares the images pixel by pixel. Replaced the M3-P0 index's citation of a local file with the committed R-01 record. Opened PR #94. Drafted OI-20 (no CI gate inspects content inside non-Office binaries)</t>
  </si>
  <si>
    <t>Dimensions unchanged (1568×2656, 1568×898, 1568×396); 0 differing pixels in each; SHA-256 of the decoded RGB data identical before and after; each file exactly 5,770 bytes smaller (the 5,758-byte chunk and its 12-byte header); all chunk CRCs valid. The comparison was first shown to detect a change: a copy with one pixel altered gave 1 differing pixel and a different hash. No .docx, .xlsx, .pptx or .pdf on dev embeds a manifest. CI 6/6</t>
  </si>
  <si>
    <t>Accepted. PED v2.0 row 1.7's AI disclosure left unchanged: it is the disclosure, not a footprint. The original files remain in history at 1faf60d; dev's history was not rewritten</t>
  </si>
  <si>
    <t>One. The manifest had been on dev since PR #49 (29/09/2026) and passed every required check: no gate inspects content inside images or PDFs. Raised as OI-20 rather than left implicit</t>
  </si>
  <si>
    <t>TD-004 index provisioning: privilege probe, provisioning script, tests, negative verifications NV-83 to NV-90, first live check-only run (L1), PR #98; OI-21 (DEC-003 assumed a VPS that never existed), PR #96</t>
  </si>
  <si>
    <t>Designed and wrote a privilege probe that ran on a throwaway database (ccprobe) on the Atlas test cluster. It showed that createIndex alone builds an index on an absent collection, so createCollection need not be granted, and that a TTL change is refused with error 85. Built the provisioning script (scripts/atlas/provision-indexes.js, indexComparison.js, declaredIndexes.js, scripts/lib/clusterMarkers.js) with a command allow-list, a server-reported privilege check and a --check-only mode. Wrote 19 tests (suite 167 → 186 pass, 8 pre-existing skips) and eight sabotage negative verifications (NV-83 to NV-90, all caught). Ran L1 check-only against the test cluster: 20 of 21 declared indexes missing, including all unique indexes (DEF-014, DEF-015, DEF-017), five declared collections absent, sessions TTL 1800 s. Drafted the evidence records, the PR #98 description and the OI-21 row.</t>
  </si>
  <si>
    <t>Expected results were written before every run. I created and removed the Atlas probe and provisioner roles and users myself, and checked each role’s grants against the screen (least privilege: 10 named collections, no wildcard). The AI reproduced the implementer’s claims independently: tests, lint, guards refusing before connecting, and sabotage NV-83 re-run with matching file hashes. I checked that NV-83 to NV-90 were free with git grep across all remote branches, with an NV-82 control. OI-21 was checked across all 36 branches, including text inside Office files, with OI-20 and OI-99 controls. Gitleaks 8.18.4 found no new findings. Workbook edits were compared cell by cell against f56cc04 before commit.</t>
  </si>
  <si>
    <t xml:space="preserve">Accepted the script, tests and records. Overruled provisioning before merge: the credential was deleted and provisioning deferred until PR #98 is reviewed. Deferred dropping the test civicconnect database (D4) until both teammates agree. </t>
  </si>
  <si>
    <t>On the first full run, the implementer got 3 test failures and re-ran without capturing the test names. Recorded as a gap, not re-run to green. A Defect Register row is pending.
I reported the cleanup times in SAST where UTC was asked, twice. The AI detected and converted them, and the records state the conversion.
The AI’s run commands wrote output to a local AI scratchpad path, which risked an AI-local path entering committed evidence. Caught before commit; the L1 record uses a placeholder.
The AI repeated an error from my project notes, attributing “the VPS the team already has” to DEC-003 instead of DEC-002. Caught by the AI when reading the documents before drafting OI-21.</t>
  </si>
  <si>
    <t>M3 planning: dependency-ordered plan to the release candidate and baseline; reviews of #99 (DEC-003 v0.4), #101 (DEF-018), #102 (index evidence) and #103 (staging marker)</t>
  </si>
  <si>
    <t>Ran a grilling session to settle the release plan (two annotated tags, only docs/ and perf/ may change between them). Drafted the four review texts and the status file.</t>
  </si>
  <si>
    <t>I checked each review point against the PR diffs and the record before posting, and posted every review myself (changes requested on all four).</t>
  </si>
  <si>
    <t>Release plan adopted as D-a to D-h. I accepted DEF-018 ownership at P1 and allocated TD-005 to the AC-FR-1.3 gap after a free-check.</t>
  </si>
  <si>
    <t>Re-reviews of #99, #101, #102, #103, #105, #110 and #111; reviews of #107 and #109; dev to main PR #106 for the release candidate</t>
  </si>
  <si>
    <t>Checked each PR head against my posted reviews and drafted the review and approval texts. Found that #99 left OI-21's colocation and CTRLWEB criteria unmet; that #105's openapi.yaml was invalid while CI was green, later confirmed with a js-yaml parse (exit 1 broken, exit 0 fixed); and that #111 said the access list was not widened while step 5 ran from a workstation. Drafted and opened #106.</t>
  </si>
  <si>
    <t>I posted every review and did every merge, and I created and pushed the v3.0-M3-rc tag myself. Merge state, ancestry and CI were checked with gh and git before each step.</t>
  </si>
  <si>
    <t>Reviews posted as drafted, with my edits. #106 merged with a merge commit (30ff0c6) and tagged.</t>
  </si>
  <si>
    <t>The AI described de84ab1 as the commit that adds the gitleaks fingerprints; it is the NV records commit the fingerprints name. It also listed the open defects as DEF-007 to 013, 016, 018 when the register shows DEF-005 to 018. Both corrected before #106 opened.</t>
  </si>
  <si>
    <t>M3 test evidence records UT-1 to UT-5 and BB-1 to BB-5, with negative verifications NV-91 to NV-100 (#104)</t>
  </si>
  <si>
    <t>Drafted the records from existing tests only, quoting FR and AC text from the workbooks. Wrote a sabotage script that wrote each expected result to the evidence file before the run and restored each source file by writing back its original content.</t>
  </si>
  <si>
    <t>I set the format in a grilling session and allocated NV-91 to NV-100 after a full free-check including Office files. SHA-256 before and after each break matched, and git status showed src/ and tests/ unchanged. Reviewed by C. Burger and R. van der Merwe.</t>
  </si>
  <si>
    <t>Existing tests only, gaps recorded as not covered. State transition limited to requirement-fixed behaviour (OI-15). NV-97 recorded as NOT CAUGHT and the test not strengthened (tests frozen at the release candidate).</t>
  </si>
  <si>
    <t>The AI miscited FR-6.7 and AC-FR-6.7 in the planning questions; I caught it, and the check found two test titles with the same errors (DEF-019). One evidence capture printed echo's exit code; re-captured before commit. It cited NV-81 (E2E only) as unit evidence; C. Burger found it.</t>
  </si>
  <si>
    <t>Full E2E run at v3.0-M3-rc (#108)</t>
  </si>
  <si>
    <t>Created a detached worktree at the tag, installed from the tag's lockfiles, wrote the expected results before each run, ran once per attempt and recorded the output.</t>
  </si>
  <si>
    <t>I supplied the environment file outside the repository (the AI did not read it), set no-retry, and chose the DNS override for the second attempt. The second run matched every expected result.</t>
  </si>
  <si>
    <t>Both attempts kept, the first as not run (SRV DNS). Opened as #108.</t>
  </si>
  <si>
    <t>Playwright's browser was missing and was installed for the run; recorded in the file.</t>
  </si>
  <si>
    <t>Defect Register v0.5 and Technical Debt Register v0.3 (#113); RTM v0.10 (#115)</t>
  </si>
  <si>
    <t>Drafted every cell, generated paste lists from one source, and ran content-only compares after each save. Ran the DEF and TD free-checks. Flagged that #112 edited the same workbooks and contradicted my allocations.</t>
  </si>
  <si>
    <t>I pasted every cell by hand in Excel. The compares caught paste errors, all fixed before commit: a row pasted into the wrong defect, three wrong dates, text appended to the wrong cell, a stray full stop, a line break from the terminal, and one cell in the wrong row of the RTM.</t>
  </si>
  <si>
    <t>My register PR instead of #112. DEF-014, DEF-015 and DEF-017 closed with R. van der Merwe's text; DEF-019 and DEF-020 allocated; TD-008 in C. Burger's own words.</t>
  </si>
  <si>
    <t>The AI flagged a date cell as not a formula when Excel had stored it as a shared formula (false alarm), and first copied the RTM onto the register branch, then moved it before any commit.</t>
  </si>
  <si>
    <t>PED v3.0 and the M3 Release Evidence Summary (#116); staging Nginx correction</t>
  </si>
  <si>
    <t>Drafted the M3 sections I own, the submission block and the summary from the repository and registers, and carried R. van der Merwe's M3.8 and v2.2 unchanged. Diagnosed that the staging client was not served (Nginx proxied every path) and wrote the Nginx change with the expected results first.</t>
  </si>
  <si>
    <t>I read and edited the drafts. Sections 1 to 13 and the appendices were compared byte for byte with v2.2. I applied the Nginx change on the VM myself; all six checks matched the expected results.</t>
  </si>
  <si>
    <t>Classification CONDITIONALLY READY. Nginx finding recorded in the deploy record and M3.10, not as a defect.</t>
  </si>
  <si>
    <t>The AI first counted nine open P1 defects instead of ten, and first put the baseline tag's own commit hash inside the document that tag contains. It redacted the staging IP I supplied for the submission block, to keep the record's rule. All corrected or kept before commit.</t>
  </si>
  <si>
    <t>The AI assisted with the reviewing of open PR's and ensures that all needed requirements were met.</t>
  </si>
  <si>
    <t>GATE-01 layer-boundary demonstration (PR #90) and CI follow-ups (PR #91)</t>
  </si>
  <si>
    <t>Drafted the one-line breach for #90 (a re-export in src/routes/healthRoutes.js, so ESLint stays quiet and only the layer check fires), the expected result written before the run, and the GATE-01 record. Traced the unplanned secret-scan failure on the same run to the scan reading every branch (--all), and drafted #91: the required scan reads only the history of HEAD, a weekly all-branch scan workflow, and a wider layer-check pattern</t>
  </si>
  <si>
    <t>Run 38357191208 failed at the layer step while the tests passed, and the merge was blocked. I checked that the six secret-scan findings were SHA-256 hashes in #89's evidence files, not credentials. On #91 the scan read 83 commits instead of 110, with no findings. #90 was closed unmerged and its branch deleted</t>
  </si>
  <si>
    <t>Accepted. Kept the all-branch scan as a weekly, non-blocking workflow instead of dropping it, so other branches are still covered</t>
  </si>
  <si>
    <t>The first layer pattern only matched imports written as `from '…/models|repositories/'`, so a side-effect import or a dynamic import() would have passed. Widened in #91. It still can't see require, createRequire or cross-module collection reads (reviewer responsibility, PED M3.5.4)</t>
  </si>
  <si>
    <t>Check that NV-83 to NV-90 were unused in Office files before they were allocated to PR #98 (demo branch, closed unmerged)</t>
  </si>
  <si>
    <t>Drafted a one-off workflow that extracts every version of every Office document on every branch with the repository's own extraction script, then searches the text for NV-83 to NV-90. A positive control (OI-20, known to exist only inside a workbook) and a negative control (OI-99, never used) are built in</t>
  </si>
  <si>
    <t>The job fails unless the positive control is found and the negative control is not, so a pass means the search can see inside Office files and doesn't match everything. git grep alone can't see inside Office files</t>
  </si>
  <si>
    <t>Accepted. NV-83 to NV-90 were not found in any committed Office file, and the IDs were allocated on 13/10/2026</t>
  </si>
  <si>
    <t>The negative control was replaced in a second commit, which also prints each hit with its context</t>
  </si>
  <si>
    <t>Screenshot editing to remove sensitive data (GATE-01, GATE-02 and B-01 to B-05 evidence screenshots)</t>
  </si>
  <si>
    <t>Listed what an evidence screenshot must not show before it is committed (email addresses, account details, the browser address bar, tokens, the staging IP) and checked each of my edited screenshots against that list</t>
  </si>
  <si>
    <t>Opened every edited image before committing it. GATE-01_4 still shows the commit, file, rule and fingerprint of each Gitleaks finding, with only the author email covered. The B-05 screenshots are cropped to the ruleset targets and the branch row. Rechecked all 21 committed M3-B and M3-CI screenshots on 16/10/2026: none carries text metadata</t>
  </si>
  <si>
    <t>Accepted. I cropped to the part of the page the evidence needs instead of blurring, and covered the email with a solid box, so nothing hidden can be recovered from the image</t>
  </si>
  <si>
    <t>Gitleaks prints each commit author's email in its log, so a screenshot of a finding exposes it unless it is covered. Recorded in the GATE-01 record as "(author email redacted)"</t>
  </si>
  <si>
    <t>Staging demonstration outline for the M3 presentation</t>
  </si>
  <si>
    <t>Drafted a timed outline for showing the release candidate on staging: what to show at each step, which evidence it points to, and what to say if a step fails during the demo</t>
  </si>
  <si>
    <t>Checked each step against the staging deploy record, so the demo shows only what was deployed and verified on v3.0-M3-rc</t>
  </si>
  <si>
    <t>Accepted. Sent to Ethan for the team presentation</t>
  </si>
  <si>
    <t>The client was not served on staging until Nginx was corrected on 15/10/2026 (#117), so the browser part of the demo depends on that fix. There is still no submission route on staging, so a request cannot be created there during the demo</t>
  </si>
  <si>
    <t>Risk Register V0.8 (RSK-019, RSK-021); PED v3.0 lines for M3.4, M3.5 and M3.6</t>
  </si>
  <si>
    <t>Drafted the M3 review notes for RSK-019 (the NFR-2.4 load run) and RSK-021 (CodeQL alert #1), and the PED lines. Built V0.8 from V0.7 with a script that changes only the status, evidence and notes cells of those two rows</t>
  </si>
  <si>
    <t>Compared V0.8 with V0.7 cell by cell: only M21:O21 and M23:O23 changed, with formulas and formatting intact. Checked the figures against the load-run and deploy records, and every new reference on Google Scholar</t>
  </si>
  <si>
    <t>Accepted. Both scores left unchanged: the run did not measure database load, and the alert confirms a known gap rather than changing its likelihood</t>
  </si>
  <si>
    <t>The Atlas metrics were not captured during the run, so RSK-019's indicator could not be read. Recorded as the next action, not filled with an estimate. One reference's DOI could not be confirmed, so it was left out</t>
  </si>
  <si>
    <t>PR review assistance, M3 (#89 to #117)</t>
  </si>
  <si>
    <t>Read each PR branch from my local clone, compared workbooks cell by cell against the previous version, checked cited run IDs, commits and evidence files, and drafted short review comments and change requests</t>
  </si>
  <si>
    <t>Read every finding against the files myself before posting, posted comments in my own words, and re-pulled and re-checked each fix before approving</t>
  </si>
  <si>
    <t>Accepted with changes. Comments shortened and some findings dropped</t>
  </si>
  <si>
    <t>One AI finding was wrong: on #115 it said the PR secret scan covers only the current tree. Ethan checked ci.yml and showed it scans the full history of HEAD. I withdrew the point and approved. Other findings that held up: the TD-005 ID clash in #112, which led to TD-008 (integration tests not in CI, owner C. Burger) and "VPS" wording still in the Decision Log after DEC-003 v0.4 (#114)</t>
  </si>
  <si>
    <t>Robert van der Merwe</t>
  </si>
  <si>
    <t>Replacing the Hostinger VPS with the Azure staging VM in DEC-003, and fixing it after review (PR #99)</t>
  </si>
  <si>
    <t>DEC-003 v0.4 with v0.3 archived; the region rule for performance results; the later review fixes (cost, staging cluster as built, production with no host, port 22, CTRLWEB, colocation, CON-007, OI-21)</t>
  </si>
  <si>
    <t>I supplied every fact (VM size, region, costs, cluster, ports, measured latency) and checked each against Azure and Atlas. I checked that the full static IP was in no commit. Ethan and Christiaan reviewed it over three rounds</t>
  </si>
  <si>
    <t>Accepted with changes: corrected the credit duration and restored the CTRLWEB clause.</t>
  </si>
  <si>
    <t>The first draft wrote the cost as “$0 actual” without noting that the credit lasts about 2.9 months; the reviewers made me correct it. The AI dropped the CTRLWEB clause when one reviewer queried it, and had to restore it because OI-21’s closure needs it</t>
  </si>
  <si>
    <t>Logging the unexplained test failure as DEF-018 (PR #101)</t>
  </si>
  <si>
    <t>Defect Register v0.4 with the DEF-018 row, written with a Python spreadsheet library</t>
  </si>
  <si>
    <t>The AI compared every cell against v0.3. I re-saved the workbook in Excel and the comparison was re-run</t>
  </si>
  <si>
    <t>Accepted with changes: re-saved in Excel to fix missing metadata, and adjusted wording to match evidence.</t>
  </si>
  <si>
    <t>The library left the date cells’ cached values empty, dropped two internal parts of the file, and kept Ethan as “last modified by”. Ethan found this; my Excel re-save fixed it. My first wording called the failure “intermittent” and “transient CI”, which the evidence did not support</t>
  </si>
  <si>
    <t>Test-cluster index evidence and duplicate-refusal checks L2 to L4 (PR #102)</t>
  </si>
  <si>
    <t>A check script run with the application credential; expected results written before the run; the evidence file; dated notes after review</t>
  </si>
  <si>
    <t>I dropped the test database, created and deleted the temporary user, and ran provisioning runs 1 and 2 myself. The AI ran L2 to L4 against the test cluster and checked the evidence files for hosts, URIs and passwords</t>
  </si>
  <si>
    <t>Accepted with changes: corrected the remaining history entry count from 5 to 4.</t>
  </si>
  <si>
    <t>The AI wrote that 5 history entries were left on the cluster; there were 4. Christiaan and Ethan caught it. My instruction to note “expected results written before the run” for runs 1 and 2 would have been false (the time was after those runs); the AI put the note only where it was true</t>
  </si>
  <si>
    <t>Staging host marker (PR #103)</t>
  </si>
  <si>
    <t>The marker in clusterMarkers.js and the updated host-guard tests</t>
  </si>
  <si>
    <t>The AI ran the marker tests (19 of 19) and the full suite. Ethan broke the marker to confirm the tests catch it</t>
  </si>
  <si>
    <t>Accepted with changes: updated substring description to "neither contains the other".</t>
  </si>
  <si>
    <t>The PR text and code comment said the two markers “share no substring”; both contain civicconnect. Corrected to “neither contains the other”</t>
  </si>
  <si>
    <t>/health reporting the release commit (PR #105)</t>
  </si>
  <si>
    <t>src/infrastructure/release.js, its tests, the wiring, and the OpenAPI schema change</t>
  </si>
  <si>
    <t>The AI ran the unit suite (191 pass). After review, the AI parsed the OpenAPI file with js-yaml and confirmed it differed from dev only in the release property</t>
  </si>
  <si>
    <t>Accepted with changes: manually rebuilt the corrupted openapi.yaml file from dev.</t>
  </si>
  <si>
    <t>The AI corrupted docs/api/openapi.yaml. Its text-replacement call treated $' in the new pattern as “the rest of the file”, which duplicated a block and lost a $. CI did not catch it, because the tests read the file as text. Ethan did. Fixed by rebuilding the file from dev</t>
  </si>
  <si>
    <t>Tool-assisted check of the NFR-2.4 performance test suite (PR #109)</t>
  </si>
  <si>
    <t>perf/generate-fixtures.js and perf/load-run.js; the workload with what NFR-2.4 fixes and what the team chose; expected results and pass/fail written before the run</t>
  </si>
  <si>
    <t>Before merge, the AI tested the load runner against a local HTTPS mock with its own certificate: a clean run passed, a run with one 500 failed, and it refused without the CA and with verification off. The fixture script refused the test cluster and a spoofed host. The unit suite was unchanged. Ethan reviewed it</t>
  </si>
  <si>
    <t>Accepted with changes: renamed script to avoid test execution and replaced dynamic logging with fixed text to resolve CodeQL alert.</t>
  </si>
  <si>
    <t>The AI named the load script load-test.js, which npm test would have run as a test; it renamed it before commit. The scripts logged environment-derived values, which raised a new high CodeQL alert; fixed by printing fixed text. The fixture script was never run against a real cluster before merge, and failed on first use (next row)</t>
  </si>
  <si>
    <t>Debugging the Atlas code 8000 failure of the fixture script on staging</t>
  </si>
  <si>
    <t>Diagnosis that 8000 was Atlas refusing permission, not a rate limit; a fixed script (batched writes, full MongoDB error output, cleanup script, Mongoose automatic index and collection creation off); later a database-name guard (PR #110)</t>
  </si>
  <si>
    <t>I found the root cause with the fixed script’s output: the staging MONGODB_URI named no database, so the app used test. I corrected /etc/civicconnect/staging.env and restarted the service. I ran the cleanup and the fixture runs on the VM. Christiaan reviewed #110</t>
  </si>
  <si>
    <t>Accepted with changes: bypassed the AI's initial role guess and used the generated script's output to find the actual URI issue.</t>
  </si>
  <si>
    <t>The first fixture script printed only “code 8000”, which hid the cause. The AI’s first guess (a missing grant in the role) was wrong; the role was correct. The same misconfiguration had let /health report “up” against the wrong database, which is now DEF-020</t>
  </si>
  <si>
    <t>Commands and evidence for the staging deployment, load run and smoke test, and the deploy record (PRs #110, #111)</t>
  </si>
  <si>
    <t>Step-by-step commands (clone, install, client build, RELEASE_COMMIT, provisioning, fixtures, load run, smoke); a hidden-prompt command to create the credential file; the deploy record, with expected results written before each run</t>
  </si>
  <si>
    <t>I ran every command on the VM or my workstation and pasted the outputs. The AI checked each output against the expected results, kept the IP redacted, and listed what was not captured instead of reconstructing it. Ethan and Christiaan reviewed the record</t>
  </si>
  <si>
    <t>Accepted with changes: deleted the untracked fixture file, manually executed the scp command, and corrected the IP whitelist record.</t>
  </si>
  <si>
    <t>I left the fixture file holding the synthetic password untracked in the repository root; the AI found it and deleted it. The AI’s scp from its own shell failed because its key was not authorised; I ran it myself. One AI edit broke the curl -w command lines in the record; it fixed them later. The record first said the staging cluster admits only the VM’s IP, but my workstation IP was also on the list; corrected after Ethan asked. No check requested /, so the record missed that Nginx was not serving the client; Ethan found and fixed this (#117)</t>
  </si>
  <si>
    <t>Post-RC register updates (PR #112, closed)</t>
  </si>
  <si>
    <t>Technical Debt Register v0.3 and Defect Register v0.5 drafts</t>
  </si>
  <si>
    <t>The AI compared them cell by cell, and I re-saved both in Excel</t>
  </si>
  <si>
    <t>Rejected: closed PR #112 completely due to the TD-005 numbering clash and passed wording to PR #113.</t>
  </si>
  <si>
    <t>The AI used TD-005 for the integration-tests item although it had already flagged that #104 cited TD-005 for something else. That created a numbering clash and two v0.3s of a one-editor workbook. I closed #112, and the wording went to Ethan’s #113</t>
  </si>
  <si>
    <t>PED M3.8 and the Decision Log’s DEC-003 row (PR #114)</t>
  </si>
  <si>
    <t>PED v2.2 with M3.8 (Performance and reliability), and Decision Log v0.9 with the DEC-003 row brought into line with DEC-003 v0.4</t>
  </si>
  <si>
    <t>The AI confirmed PED v2.2 differed from v2.1 only in the intended lines, and that only D7, E7 and G7 changed in the Decision Log. I re-saved the log in Excel. Ethan and Christiaan reviewed it</t>
  </si>
  <si>
    <t>I gave 6,735 as the total requests; that was the 600 s window only, and the AI recorded both figures (6,835 in total). The Excel re-save moved the freeze pane, which is harmless</t>
  </si>
  <si>
    <t>Reviewing open PRs and generating gh pr review commands (PRs #104, #106, #107, #108, #113, #115, #116, #117)</t>
  </si>
  <si>
    <t>A check of each branch against my criteria, and review commands with comments</t>
  </si>
  <si>
    <t>I posted every review myself after reading the AI’s findings</t>
  </si>
  <si>
    <t>Accepted with changes: adjusted the NFR-3.5 review comment to correctly state the full history scan.</t>
  </si>
  <si>
    <t>The AI found Christiaan’s suggested NFR-3.5 wording on #115 understated the PR secret scan (it covers full history, not the current tree), and held #116 back because the Release Evidence Summary omits the 21-of-21 index provisioning</t>
  </si>
  <si>
    <t>Reviewing PR #122 (TD-008 integration job) and PR #123 (DEF-019, TD-007, README, .gitignore)</t>
  </si>
  <si>
    <t>Accepted with changes: #123's description was corrected to four commits and to mention the secret-scan fix before I approved</t>
  </si>
  <si>
    <t>Wrote both files and the README from the deploy record and the 15/10 note, marked every line the record does not show as NOT RECORDED, and checked them for IPs and secrets</t>
  </si>
  <si>
    <t>Accepted with changes: HSTS left out, because browsers ignore it for an IP host (RFC 6797 §8.1)</t>
  </si>
  <si>
    <t>DEC-003 v0.5 and Decision Log v0.10 (PR #134)</t>
  </si>
  <si>
    <t>Drafted the v0.5 text closing the eight M3 follow-ups and the extra ones (access-list exception, environment file owner, Test row, staging subdomain), and the final-status and consequence cells for all 19 decisions. Wrote the Decision Log through Excel itself, not a script library</t>
  </si>
  <si>
    <t>Four Decision Log cells wait for the Sunday RC evidence ([Sunday RC check]), so the PR is a draft</t>
  </si>
  <si>
    <t>Defect Register v0.6 and Open Items v0.8 (PR #135)</t>
  </si>
  <si>
    <t>Drafted DEF-021 and the final status of every defect not on the M4 fix list, and the final status and reason of every open item, C-05 and CON-019. Pulled the CI history for the intermittent failures (104 runs, 13–17/10). Wrote both workbooks through Excel</t>
  </si>
  <si>
    <t>Cell-by-cell comparisons against v0.5 and v0.7 (Open Items with the row shift mapped) show only the intended cells changed. I checked the cited files and lines (Role.js unused, statusTransitionService.js line 80)</t>
  </si>
  <si>
    <t>Accepted with changes: two statements were narrowed where the evidence was weaker than the draft (DEF-004's smoke runs, DEF-013's AC reference)</t>
  </si>
  <si>
    <t>DEF-007 to DEF-012, DEF-019, OI-13, CON-019 and Ethan's two new items wait for Sunday, so the PR is a draft</t>
  </si>
  <si>
    <t>Go-live/no-go draft, final reflection and demonstration plan (texts for PED v4.0)</t>
  </si>
  <si>
    <t>Drafted the "remained in staging" table, the §10 reflection table and the §12 stage plan from the registers, DEC-003 v0.5 and PED v3.0</t>
  </si>
  <si>
    <t>I checked every cited ID and figure against the repository; the statements that depend on Sunday are marked and not asserted</t>
  </si>
  <si>
    <t>M4 preparation: strict scope table and build plan</t>
  </si>
  <si>
    <t>Read the M1 record and drafted the strict scope table over all 80 ACs, the build list, the parallel-track plan and the RC plan; asked 14 planning questions before any build work started.</t>
  </si>
  <si>
    <t>Ethan answered all 14 questions and checked the scope table row by row against the M1 ACs and the counting rule.</t>
  </si>
  <si>
    <t>Ethan set the counting rule (Met only when the Then clause is shown through the system's own interface), the denominator of 80, one PR for the build, one worktree per track, the NV and DEF allocations, and the FR-1.5 Partial judgement.</t>
  </si>
  <si>
    <t>The AI's table marked AC-NFR-1.10 "Met if CR-001 is approved", which was wrong: the integration test's own header says the auditLog clauses are not verified. Corrected on 17/10.</t>
  </si>
  <si>
    <t>Build tracks T1 to T8 folded into task/M4-final-product (PR #136); DEC-015 Addendum A</t>
  </si>
  <si>
    <t>Wrote the track code in separate worktrees (some through sub-agents), folded them one commit per track with the full test suite and lint after each fold, wrote DEC-015 Addendum A (routes A1 to A8) and the negative-verification records NV-101 to NV-173 (65 records).</t>
  </si>
  <si>
    <t>Each NV record breaks the guarded line, runs the test, restores the line and checks the file hash. Unit tests: 459 (451 pass, 8 skipped). Lint clean after every fold.</t>
  </si>
  <si>
    <t>Ethan chose one PR for all tracks and decided the A1 to A8 route behaviour recorded in the addendum (duplicate e-mail returns 409; e-mail hidden from non-Administrators). Merge only after two team approvals.</t>
  </si>
  <si>
    <t>One fold ran on unresolved conflict markers; it was recorded as invalid and the fold script now stops on conflicts. A JavaScript replacement string corrupted openapi.yaml, which was recreated. A duplicate /requests key was found, and two tracks had both created categoryRepository.</t>
  </si>
  <si>
    <t>Walkthrough defects DEF-022 to DEF-031</t>
  </si>
  <si>
    <t>Diagnosed the defects Ethan found in his manual walkthrough, including DEF-024 (S1): a per-viewer response was reused from the browser cache because of a version-only ETag, Express's automatic 304 and no Cache-Control. Wrote each fix with a test that failed first, and drafted the DEF register rows as paste files with a cell-by-cell expected-values file.</t>
  </si>
  <si>
    <t>DEF-024 was confirmed live, in Playwright and in the audit log before the fix. Every fix has a test that failed before and passes after; Ethan re-tested each defect in the browser.</t>
  </si>
  <si>
    <t>Ethan found the defects, set the severities and decided the fixes stay in M4 scope rather than being deferred.</t>
  </si>
  <si>
    <t>The unit test missed DEF-024 at first because undici's fetch adds no-cache to requests; the test was changed to use node:http so it reproduces the browser's behaviour.</t>
  </si>
  <si>
    <t>UI polish, E2E-11 to E2E-13 and the 360 px phone layout</t>
  </si>
  <si>
    <t>Wrote polish items 1 to 21 through two sub-agents and reviewed and folded them; wrote E2E-11 (AC-FR-4.2), E2E-12 (AC-FR-4.3, against the real text index) and E2E-13 (AC-NFR-1.2 after each interaction); built the 360 px card layout, the toast restyle, the centred column and the fix that keeps the Notes controls in place during the reload (NV-173).</t>
  </si>
  <si>
    <t>Ethan checked the layout on his phone and in the browser walkthrough. E2E-13's failure on sideways-scrolling boxes was predicted in writing before the run.</t>
  </si>
  <si>
    <t>Ethan decided on the card layout for phones and the toast restyle after seeing the first version.</t>
  </si>
  <si>
    <t>E2E-11 found a real defect (DEF-031: wrong category name after an in-place sign-in). An AI regex replacement duplicated part of mobile.spec.js; ESLint caught it before any run. NV-173's first attempt started from the wrong position because Playwright's click scrolled the page; this is recorded in the NV file.</t>
  </si>
  <si>
    <t>Evidence runs: integration and four-browser E2E on the frozen build</t>
  </si>
  <si>
    <t>Wrote the run helper (run-cluster.cjs: env file read by path, DNS override, expected results embedded, output kept verbatim) and wrote the expected results before each run.</t>
  </si>
  <si>
    <t>Integration 40/40 at e973a9d and again at the frozen build 6408ab7. E2E run 1: 54/56 at 1691e0f; the two failures were diagnosed from Playwright traces as timing mistakes in AI-written tests (E2E-4 read without a wait; E2E-11 in Firefox clicked during a layout shift). After the fixes, run 2: 56/56 at 6408ab7. All records committed unedited.</t>
  </si>
  <si>
    <t>Ethan's rules applied: expected results written before every run, no re-running a failure until it is diagnosed, evidence never edited.</t>
  </si>
  <si>
    <t>The run 2 expected-results text says "written 18:58 UTC"; that was an AI estimate, and the file system shows 18:55:35, still before the 18:57:36 start. Noted in commit 0b9ea55 without editing the record. Two logs were committed before the footprint scan result was read; they contain only worktree paths.</t>
  </si>
  <si>
    <t>Change requests CR-001 to CR-004 v0.2 and their register follow-ups</t>
  </si>
  <si>
    <t>Wrote CR-001 to CR-004 v0.2 to the team's decision (status line and Approval row only), opened PR #137, and drafted the 31 follow-up cells (AC v0.4, NFR v0.4, FR v0.3, RTM v0.11, OI v0.8, DL v0.10) with a generator and an expected-values file.</t>
  </si>
  <si>
    <t>Ethan read each Approval row against the evidence it cites; pasted cells are checked by a content-only cell compare against the expected-values file.</t>
  </si>
  <si>
    <t>The team approved CR-001 to CR-004 on 17/10/2026. Ethan decided they do not change the scope figure, because they were not validated with a client stakeholder.</t>
  </si>
  <si>
    <t>The AI's first CR-001 Approval row overclaimed ("verifies AC-NFR-1.10 v0.3"), and its CR-004 row said the index table already followed the amended text. Both were corrected before the PR (39ec3f9, 6ba9fa5), and the PR text says so.</t>
  </si>
  <si>
    <t>Test-cluster data check (synthetic data only)</t>
  </si>
  <si>
    <t>Ran a read-only survey script under the test-cluster guard: document counts, e-mail domains, and e-mail and phone patterns in free text.</t>
  </si>
  <si>
    <t>Ethan reviewed the survey output. The roles and campuses collections were not readable by the application's role, so they were not covered.</t>
  </si>
  <si>
    <t>Ethan deleted the one real-address user in Atlas at 19:00 UTC himself; the AI had no write access.</t>
  </si>
  <si>
    <t>One user with a real e-mail address was found (already revoked). Nothing else non-synthetic.</t>
  </si>
  <si>
    <t>Release paperwork: PR description, merge order and tag commands</t>
  </si>
  <si>
    <t>Drafted the PR #136 description in the repository's PR template, the merge order, and the tag commands with diff checks against 6408ab7; updated Robert's B5 to B7 drafts with 14 listed changes for Robert to accept or reject.</t>
  </si>
  <si>
    <t>Ethan checked the PR descriptions against the template before pasting them himself.</t>
  </si>
  <si>
    <t>Ethan alone merges, approves and tags; Robert decides on his own drafts.</t>
  </si>
  <si>
    <t>The first PR description did not follow the repository's PR template; it was redone. The permission hook blocked the AI from editing the PR description, as intended, so Ethan pasted it.</t>
  </si>
  <si>
    <t>M4 supervision: work split, Claude Code instructions, permission guard and front-end design</t>
  </si>
  <si>
    <t>Drafted the M4 work split and timeline; wrote the instructions sent to Claude Code; wrote the Claude Code permission settings and guard hook (blocks merges, reviews, force pushes and pushes to main or dev; blocks AI attribution text in commits, PRs and issues; allows reviewer requests only for team members) with 38 test cases; produced the visual design canvas (colours, type, status badges, ticket card) that the React front end follows.</t>
  </si>
  <si>
    <t>Ethan ran the 38 guard tests on his machine (all pass), read every instruction before sending it, and compared the built UI with the design canvas in his walkthrough.</t>
  </si>
  <si>
    <t>Ethan kept the full M4 scope (he rejected moving defect fixes to a teammate), chose the design direction, and kept merging, approving and tagging to himself.</t>
  </si>
  <si>
    <t>The guard first failed as a .js file in an ES-module repository and mis-read backslashes in Windows paths; both were fixed and re-tested. The AI put PR reviews into the preparation prompt before the project was fully understood (removed), wrote an unclear teammate message (rewritten), and wrongly said the FR-3.5 status chips should be mapped (corrected: the chips show all seven statuses).</t>
  </si>
  <si>
    <t>Accepted with changes: the no-go decision and the reflection are the team’s own; the drafts were revised before use (14 listed corrections) to match the final scope figure and current defect statuses, and staging-dependent statements stay marked until Sunday’s RC evidence.</t>
  </si>
  <si>
    <t>The AI’s drafts needed 14 corrections before use, mostly figures and statuses that had changed since they were written; nothing was carried into PED v4.0 without being checked against the registers.</t>
  </si>
  <si>
    <t>TD-008: run the 8 integration cases in CI</t>
  </si>
  <si>
    <t>Drafted a sixth CI job that starts a single-node MongoDB 8.0 replica set on the runner, with no cluster credential, and runs the cases against it; the harness change that accepts that loopback host only when CI=true; and a step that fails the job if the cases were skipped. Wrote the expected result before the run: 40 tests, 25 pass, 15 fail (DEF-007 to DEF-011)</t>
  </si>
  <si>
    <t>The run on PR #122 matched the prediction exactly: 40 tests, 25 pass, 15 fail, 0 skipped. Before that, the full suite with the harness change was unchanged from dev (199 tests, 191 pass), the host rule was tested against four URIs, and the skip guard failed the step when no database was given. After PR #136 the same job passed 40/40 on dev (run 39079571516)</t>
  </si>
  <si>
    <t>Accepted with changes. Added as a non-required check while DEF-007 to DEF-011 still failed, so the known failures did not block other merges. After it passed 40/40 on dev, I made it a required check in the dev rule ruleset on 18/10/2026, which repays TD-008</t>
  </si>
  <si>
    <t>TD Register v0.3 planned the known failures as expected failures. node:test has no expected-failure mode that fails when the test starts passing, so I made the job non-required instead of changing any assertion. MongoDB could not be downloaded in the drafting environment, so the replica set was first tried in CI itself</t>
  </si>
  <si>
    <t>Rewrote the two OpenAPI contract tests to parse the file with the yaml package as a dev dependency, and added a test for valid YAML, OpenAPI 3.x and resolving references. Corrected the two DEF-019 titles, the stale staging-marker line in the scripts README, and added ignores for the perf fixture file and staging.crt</t>
  </si>
  <si>
    <t>Broke openapi.yaml four ways with the expected results written first: the old tests passed on three of the four, the new ones failed on all four, and the file was restored and hash-checked each time. Full suite 200 tests, 192 pass; ESLint clean; production audit 0 vulnerabilities; the lockfile change is only the yaml package; the ignore rules were tested in an empty repo</t>
  </si>
  <si>
    <t>Accepted. A YAML parser rather than a full OpenAPI validator, with the limit stated in the test headers. Split into three commits, one per fix</t>
  </si>
  <si>
    <t>The negative verification ran in a scratch copy, not in my checkout, and the evidence file says so. One commit message was joined to old text by mistake and was amended before review</t>
  </si>
  <si>
    <t>Pre-RC fixes: TD-007 OpenAPI tests parse the YAML, DEF-019 test titles, scripts README, .gitignore</t>
  </si>
  <si>
    <t>Staging Nginx site file and systemd unit in deploy/ (PR #133)</t>
  </si>
  <si>
    <t>Read both diffs and the CI logs. For #122, extracted the TAP summary (40 / 25 / 15 / 0 skipped) and matched the 15 failing checks to the M3 run file. For #123, ran the suite in a clean worktree, checked that the two .gitleaksignore entries are the openapi.yaml SHA-256 lines and that the hash matches the file on dev, and drafted the review comments</t>
  </si>
  <si>
    <t>I checked the TAP summary and the failing-check names against docs/evidence/M3_API_Test_Run.txt, confirmed the ruleset's required checks, and read the reviews before they were posted</t>
  </si>
  <si>
    <t>I checked each recorded line against the deploy record. Comparing with the VM (diff -u against the live files) is my step before merge, and is not yet done</t>
  </si>
  <si>
    <t>I checked each statement against the deploy record, PED v3.0 M3.3 and M3.8, and gh repo view (repository public). A line comparison shows every v0.4 line kept; a cell comparison shows only B2 and L4:M23 changed</t>
  </si>
  <si>
    <t>Accepted with changes: I confirmed the /health commit-hash position as my decision (accepted for staging, to verify the deployed release; not accepted as-is for production, because the repository is public and the hash on an unauthenticated endpoint reveals the exact source and patch level).</t>
  </si>
  <si>
    <t>#122's description stopped mid-sentence and lacked the template's sections. Because C. Burger was unavailable, I completed it on 17/10/2026 from his commit and the CI run, with a note in the description saying so.</t>
  </si>
  <si>
    <t>The live files were never captured at M3, so the repository files are reconstructions until the VM comparison is posted on the PR. The first draft's HSTS comment gave the wrong reason and was corrected The comparison was run by E. Lindsay on 17/10/2026, 22:57 UTC (PR #133).</t>
  </si>
  <si>
    <t>Staging release-candidate session for v4.0-M4-rc: deploy, health, seed, smoke test, NFR-2.4 and NFR-2.1 runs, walkthrough, T9 checks</t>
  </si>
  <si>
    <t>Wrote each command block for the VM and laptop with the expected result written before every run; reconciled results across the database, the application log and Nginx; wrote the deploy record (docs/evidence/M4_Staging_Deploy_v4.0-M4-rc.md) from the verbatim output.</t>
  </si>
  <si>
    <t>Ethan ran every command himself on the VM and laptop, compared each output with the expected result before continuing, and stopped at every mismatch. Secrets were never shown to the AI; checks on the environment file printed counts only.</t>
  </si>
  <si>
    <t>Ethan decided to deploy the app only and leave the live Nginx and systemd files unchanged, to record the failed NFR-2.4 and NFR-2.1 runs as they happened without re-running, to keep the code frozen, and the Partial verdicts for AC-NFR-1.11 and AC-NFR-3.1.</t>
  </si>
  <si>
    <t>An M3 fixture file was still on the VM; a command block carried on after the generator refused to overwrite it and copied the stale file, so later blocks were chained to stop on the first failure. Several AI-written commands wrapped or dropped a required argument (--app-dir) and were corrected before running. The AI's expectations for the M3 cleanup (categories and users deleted) were wrong and were verified read-only before acceptance.</t>
  </si>
  <si>
    <t>Diagnosis and recording of the submission counter contention (DEF-032)</t>
  </si>
  <si>
    <t>Diagnosed the NFR-2.1 and NFR-2.4 failures from the counts: concurrent submissions write-conflict on the single per-year counter inside the create transaction, and the driver's withTransaction retries for up to 120 s before failing as an unhandled 500. Drafted the defect row, the proposed fix and the RSK-019 update.</t>
  </si>
  <si>
    <t>Confirmed from the redacted journal (WriteConflict, code 112, TransientTransactionError), the database count of saved submissions and the Nginx 499 count, which reconcile exactly. A read-only check confirmed no dangling user references after cleanup.</t>
  </si>
  <si>
    <t>Ethan allocated DEF-032 as S1/P2 after a free-check, decided not to patch the frozen release before the baseline, and recorded the proposed fix as future work and as a go-live blocker.</t>
  </si>
  <si>
    <t>The AI first predicted all 100 burst submissions would commit; 30 were lost, which made the defect more serious than predicted. The AI's free-check script first searched no workbook contents (it extracted only one XML part); the DEF-021 control caught it and the check was re-run.</t>
  </si>
  <si>
    <t>Moving staging to the domain civicconnect.co.za with a Let's Encrypt certificate (post-RC change)</t>
  </si>
  <si>
    <t>Gave the DNS, certbot and Nginx steps, a backup and restore command, and a TLS re-check against the domain; recorded the change as a dated post-RC note in the deploy record.</t>
  </si>
  <si>
    <t>Ethan ran the steps on GoDaddy and the VM; health returned 200 on the release commit, HTTP redirected to HTTPS, the renewal dry run passed, and TLS 1.0 and 1.1 were refused while 1.2 and 1.3 verified with the hostname checked.</t>
  </si>
  <si>
    <t>Ethan decided to make the change and to keep last night's checks as the release candidate's evidence, with the re-check recorded alongside them; deploy/ was left unchanged before the baseline.</t>
  </si>
  <si>
    <t>A domain name was mangled into a link when pasted and the AI's first check for it gave a false positive (it matched the IPv6 listen lines); the file was confirmed correct by a direct grep.</t>
  </si>
  <si>
    <t>Final records and PED v4.0: RTM, Risk, TD and AI Usage passes; PED final pass; reviews of #134, #135, #139 and #140</t>
  </si>
  <si>
    <t>Drafted the paste files and expected values for each pass, verified each team review point against the files before applying it, rebuilt PED v4.0 to its final state, and reviewed Robert's register PRs cell by cell.</t>
  </si>
  <si>
    <t>Every workbook paste was checked with a content-only cell compare against its committed version before each commit. Christiaan's and Robert's requested changes were checked against the evidence files before being applied.</t>
  </si>
  <si>
    <t>Ethan decided which review points to accept, kept NFR-1.8 at Partial only after evidence was found and cited, accepted P29 as "Fixed", and approved #134 and #135 after the re-review.</t>
  </si>
  <si>
    <t>The handover file the AI drafted credited #123 to Robert instead of Christiaan, and one defect row in it was wrong; both were corrected in the registers and the PED. RTM rows NFR-1.7, NFR-3.5 and NFR-1.8 stated "Not verified" against a Met or Partial status until the team's review caught it.</t>
  </si>
  <si>
    <t>Independent audit of the M4 deliverables and the submission package</t>
  </si>
  <si>
    <t>Ran a separate read-only audit against the brief on dev, and assembled the submission folder with a checklist mapping each brief requirement to a file or link.</t>
  </si>
  <si>
    <t>Ethan reviewed the findings; the S1 items were checked against the files before action.</t>
  </si>
  <si>
    <t>Ethan decided which findings to fix before the baseline (the AI Usage rows for 18/10 and the Stakeholder Register add-in metadata) and which to leave.</t>
  </si>
  <si>
    <t>The audit found that 18/10 AI use was not yet declared and that the Stakeholder Register carried add-in metadata; both were fixed before the baseline tag.</t>
  </si>
  <si>
    <t>M4 supervision on the final day: instructions to the coding agent, team handover, review and approval wording</t>
  </si>
  <si>
    <t>Wrote the instructions sent to the coding agent, the team handover document, the staging step-by-step guidance, and draft approval comment wording offered to the team.</t>
  </si>
  <si>
    <t>Ethan read every instruction before sending it and checked the handover against the registers; teammates reviewed the PRs themselves before approving.</t>
  </si>
  <si>
    <t>Ethan decided the scope of each step, the order of merges, and what was sent to the team.</t>
  </si>
  <si>
    <t>The handover's first version contained two factual errors (the #123 owner and one defect row), both corrected before use.</t>
  </si>
  <si>
    <t>Reviewing PR #139 (M4 records) and PR #140 (PED v4.0 and the M4 staging record)</t>
  </si>
  <si>
    <t>Compared each workbook in #139 cell by cell against the previous commit at each pass (8d83e5c, 53bce8d), recounted the scope figure from RTM v0.11 (59 Met, 8 Partially Met, 13 Not Met), checked PED v4.0 M4.7 and M4.8 against the registers, searched #140 for full IP addresses, credentials and leftover markers, and drafted the review comments</t>
  </si>
  <si>
    <t>I read every finding before a review was posted, and confirmed my own AI Usage rows (B83:I87) and PED changes 15 to 27 with E. Lindsay myself</t>
  </si>
  <si>
    <t>Accepted with changes: I held my #139 approval until my rows were corrected (I83, I84, H85), then approved 53bce8d and #140</t>
  </si>
  <si>
    <t>My first #139 check found my rows out of date and two claims I had not confirmed; the comment review asked for corrections rather than approving them</t>
  </si>
  <si>
    <t>DEC-003 v0.5 and Decision Log v0.10, completed with the release-candidate evidence and review fixes (PR #134)</t>
  </si>
  <si>
    <t>Filled the cells that waited on the release candidate, recorded the M4 contention (DEF-032) and the RSK-019 trigger, brought DEC-003 into line with #133 as merged and with the civicconnect.co.za domain, and applied the reviewers' fixes (DEC-004, DEC-011, DEC-013, DEC-018, DEC-019). Checked each statement against the release-candidate code and RTM v0.11 before writing it, and wrote the workbook through Excel</t>
  </si>
  <si>
    <t>Cell-by-cell comparison at every push: only the intended cells changed, and nothing outside B2 and L4:M23 against v0.9; Outdated/ untouched. E. Lindsay and C. Burger reviewed it</t>
  </si>
  <si>
    <t>Accepted with changes: E. Lindsay's wording used for DEC-011 (L15, M15) and DEC-016 (M20); my own wording kept for DEC-005 and DEC-017, which his notes marked as done</t>
  </si>
  <si>
    <t>The AI's 17/10 cells were stale after the M4 build (Chromium only, subscribers not registered); both reviewers caught them. The AI wrote temporary M9, M20 and M21 sentences before E. Lindsay's text arrived. One edit introduced a mixed line ending in DEC-003, normalised before commit</t>
  </si>
  <si>
    <t>Defect Register v0.6 and Open Items v0.8, completed with the release-candidate evidence, E. Lindsay's rows and review fixes (PR #135)</t>
  </si>
  <si>
    <t>Closed DEF-007 to DEF-012 and DEF-019 from the release-candidate evidence after checking each fix in the code. Pasted E. Lindsay's DEF-022 to DEF-032 rows unchanged with semicolon DATE formulas. Updated OI-13 and CON-019. For the review, rechecked the CI logs for every secret-scan failure since 11/10/2026 and brought six Open Items reasons up to M4</t>
  </si>
  <si>
    <t>All 176 pasted cells compared against the paste files; cell-by-cell comparison against v0.5 and v0.7 at every push; Outdated/ untouched. E. Lindsay and C. Burger reviewed it</t>
  </si>
  <si>
    <t>Accepted with changes: Q13 (DEF-003) states all eight secret-scan failures, not the two in C. Burger's suggested sentence; P29 set to Fixed at his request</t>
  </si>
  <si>
    <t>The AI's 17/10 Open Items reasons were stale after the M4 build (reporting and category administration not built, Chromium only); C. Burger caught them. The first paste-file read split rows wrongly (line endings); an assertion stopped it before anything was written</t>
  </si>
  <si>
    <t>Demonstration plan (B7) and checking E. Lindsay's PED changes 15 to 27</t>
  </si>
  <si>
    <t>Updated the B7 plan to the staging domain and the release-candidate results, and checked each PED change against the registers, the CI run history and the ruleset</t>
  </si>
  <si>
    <t>I compared the changes with the registers and the PR evidence before confirming them to E. Lindsay</t>
  </si>
  <si>
    <t>Accepted: changes 15 to 27 confirmed; the B7 plan kept for the defence</t>
  </si>
  <si>
    <t>The B7 plan's stale lines (self-signed certificate, NFR-2.4 as a pass) were not updated until I asked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</si>
</sst>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6">
    <font>
      <sz val="11"/>
      <color theme="1"/>
      <name val="Aptos Narrow"/>
      <family val="2"/>
      <scheme val="minor"/>
    </font>
    <font>
      <b/>
      <sz val="18"/>
      <color rgb="FF1F3864"/>
      <name val="Aptos Narrow"/>
      <family val="2"/>
      <scheme val="minor"/>
    </font>
    <font>
      <b/>
      <sz val="11"/>
      <color rgb="FFFFFFFF"/>
      <name val="Aptos Narrow"/>
      <family val="2"/>
      <scheme val="minor"/>
    </font>
    <font>
      <sz val="10"/>
      <name val="Calibri"/>
      <family val="2"/>
    </font>
    <font>
      <sz val="10"/>
      <color theme="1"/>
      <name val="Arial Unicode MS"/>
    </font>
    <font>
      <sz val="8"/>
      <name val="Aptos Narrow"/>
      <family val="2"/>
      <scheme val="minor"/>
    </font>
  </fonts>
  <fills count="4">
    <fill>
      <patternFill patternType="none"/>
    </fill>
    <fill>
      <patternFill patternType="gray125"/>
    </fill>
    <fill>
      <patternFill patternType="solid">
        <fgColor rgb="FF1F3864"/>
        <bgColor indexed="64"/>
      </patternFill>
    </fill>
    <fill>
      <patternFill patternType="solid">
        <fgColor rgb="FFFFF2CC"/>
      </patternFill>
    </fill>
  </fills>
  <borders count="7">
    <border>
      <left/>
      <right/>
      <top/>
      <bottom/>
      <diagonal/>
    </border>
    <border>
      <left style="thin">
        <color rgb="FFB4C6E7"/>
      </left>
      <right style="thin">
        <color rgb="FFB4C6E7"/>
      </right>
      <top style="thin">
        <color rgb="FFB4C6E7"/>
      </top>
      <bottom style="thin">
        <color rgb="FFB4C6E7"/>
      </bottom>
      <diagonal/>
    </border>
    <border>
      <left style="thin">
        <color rgb="FFB4C6E7"/>
      </left>
      <right style="thin">
        <color rgb="FFB4C6E7"/>
      </right>
      <top/>
      <bottom style="thin">
        <color rgb="FFB4C6E7"/>
      </bottom>
      <diagonal/>
    </border>
    <border>
      <left style="thin">
        <color rgb="FFB4C6E7"/>
      </left>
      <right style="thin">
        <color rgb="FFB4C6E7"/>
      </right>
      <top style="medium">
        <color rgb="FF1F3864"/>
      </top>
      <bottom style="medium">
        <color rgb="FF1F3864"/>
      </bottom>
      <diagonal/>
    </border>
    <border>
      <left style="medium">
        <color rgb="FF1F3864"/>
      </left>
      <right style="thin">
        <color rgb="FFB4C6E7"/>
      </right>
      <top style="medium">
        <color rgb="FF1F3864"/>
      </top>
      <bottom style="medium">
        <color rgb="FF1F3864"/>
      </bottom>
      <diagonal/>
    </border>
    <border>
      <left style="thin">
        <color rgb="FFB4C6E7"/>
      </left>
      <right style="medium">
        <color rgb="FF1F3864"/>
      </right>
      <top style="medium">
        <color rgb="FF1F3864"/>
      </top>
      <bottom style="medium">
        <color rgb="FF1F3864"/>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1">
    <xf numFmtId="0" fontId="0" fillId="0" borderId="0" xfId="0"/>
    <xf numFmtId="0" fontId="0" fillId="0" borderId="0" xfId="0" applyAlignment="1">
      <alignment horizontal="center" vertical="center"/>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3" fillId="0" borderId="6" xfId="0" applyFont="1" applyBorder="1" applyAlignment="1">
      <alignment horizontal="center" vertical="center" wrapText="1"/>
    </xf>
    <xf numFmtId="16" fontId="3" fillId="0" borderId="6" xfId="0" applyNumberFormat="1" applyFont="1" applyBorder="1" applyAlignment="1">
      <alignment horizontal="center" vertical="center" wrapText="1"/>
    </xf>
    <xf numFmtId="0" fontId="3" fillId="0" borderId="2" xfId="0" applyFont="1" applyBorder="1" applyAlignment="1">
      <alignment horizontal="center" vertical="center" wrapText="1"/>
    </xf>
    <xf numFmtId="0" fontId="3" fillId="0" borderId="1" xfId="0" applyFont="1" applyBorder="1" applyAlignment="1">
      <alignment horizontal="center" vertical="center" wrapText="1"/>
    </xf>
    <xf numFmtId="0" fontId="0" fillId="0" borderId="6" xfId="0" applyBorder="1" applyAlignment="1">
      <alignment horizontal="center" vertical="center" wrapText="1"/>
    </xf>
    <xf numFmtId="0" fontId="0" fillId="0" borderId="0" xfId="0" applyAlignment="1">
      <alignment horizontal="center" vertical="center" wrapText="1"/>
    </xf>
    <xf numFmtId="0" fontId="3" fillId="3" borderId="1" xfId="0" applyFont="1" applyFill="1" applyBorder="1" applyAlignment="1">
      <alignment horizontal="center" vertical="center" wrapText="1"/>
    </xf>
    <xf numFmtId="164" fontId="0" fillId="0" borderId="1" xfId="0" applyNumberFormat="1" applyBorder="1" applyAlignment="1">
      <alignment horizontal="center" vertical="center" wrapText="1"/>
    </xf>
    <xf numFmtId="164" fontId="3" fillId="0" borderId="6" xfId="0" applyNumberFormat="1" applyFont="1" applyBorder="1" applyAlignment="1">
      <alignment horizontal="center" vertical="center" wrapText="1"/>
    </xf>
    <xf numFmtId="164" fontId="3" fillId="0" borderId="2" xfId="0" applyNumberFormat="1" applyFont="1" applyBorder="1" applyAlignment="1">
      <alignment horizontal="center" vertical="center" wrapText="1"/>
    </xf>
    <xf numFmtId="164" fontId="0" fillId="0" borderId="6" xfId="0" applyNumberFormat="1" applyBorder="1" applyAlignment="1">
      <alignment horizontal="center" vertical="center" wrapText="1"/>
    </xf>
    <xf numFmtId="164" fontId="3" fillId="0" borderId="1" xfId="0" applyNumberFormat="1" applyFont="1" applyBorder="1" applyAlignment="1">
      <alignment horizontal="center" vertical="center" wrapText="1"/>
    </xf>
    <xf numFmtId="0" fontId="1" fillId="0" borderId="0" xfId="0" applyFont="1" applyAlignment="1">
      <alignment horizontal="center" vertical="center"/>
    </xf>
    <xf numFmtId="0" fontId="0" fillId="0" borderId="0" xfId="0" applyAlignment="1">
      <alignment horizontal="center" vertical="center"/>
    </xf>
  </cellXfs>
  <cellStyles count="1">
    <cellStyle name="Normal" xfId="0" builtinId="0"/>
  </cellStyles>
  <dxfs count="6">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B1:I185"/>
  <sheetViews>
    <sheetView showGridLines="0" tabSelected="1" zoomScale="55" zoomScaleNormal="55" workbookViewId="0">
      <pane ySplit="2" topLeftCell="A99" activePane="bottomLeft" state="frozen"/>
      <selection pane="bottomLeft" activeCell="I102" sqref="I102"/>
    </sheetView>
  </sheetViews>
  <sheetFormatPr defaultColWidth="40.33203125" defaultRowHeight="14.4"/>
  <cols>
    <col min="1" max="1" width="4.109375" style="1" customWidth="1"/>
    <col min="2" max="2" width="28.44140625" style="1" bestFit="1" customWidth="1"/>
    <col min="3" max="3" width="20" style="1" bestFit="1" customWidth="1"/>
    <col min="4" max="4" width="20.109375" style="1" bestFit="1" customWidth="1"/>
    <col min="5" max="5" width="37" style="1" customWidth="1"/>
    <col min="6" max="6" width="41.33203125" style="1" bestFit="1" customWidth="1"/>
    <col min="7" max="7" width="43.88671875" style="1" bestFit="1" customWidth="1"/>
    <col min="8" max="8" width="41.109375" style="1" bestFit="1" customWidth="1"/>
    <col min="9" max="9" width="42.33203125" style="1" bestFit="1" customWidth="1"/>
    <col min="10" max="16384" width="40.33203125" style="1"/>
  </cols>
  <sheetData>
    <row r="1" spans="2:9" ht="34.200000000000003" customHeight="1" thickBot="1">
      <c r="B1" s="19" t="s">
        <v>0</v>
      </c>
      <c r="C1" s="20"/>
      <c r="D1" s="20"/>
      <c r="E1" s="20"/>
      <c r="F1" s="20"/>
      <c r="G1" s="20"/>
      <c r="H1" s="20"/>
    </row>
    <row r="2" spans="2:9" ht="15" thickBot="1">
      <c r="B2" s="3" t="s">
        <v>1</v>
      </c>
      <c r="C2" s="2" t="s">
        <v>2</v>
      </c>
      <c r="D2" s="2" t="s">
        <v>3</v>
      </c>
      <c r="E2" s="2" t="s">
        <v>4</v>
      </c>
      <c r="F2" s="2" t="s">
        <v>5</v>
      </c>
      <c r="G2" s="2" t="s">
        <v>6</v>
      </c>
      <c r="H2" s="4" t="s">
        <v>7</v>
      </c>
      <c r="I2" s="4" t="s">
        <v>8</v>
      </c>
    </row>
    <row r="3" spans="2:9" ht="96.6">
      <c r="B3" s="16">
        <f>DATE(2026,9,7)</f>
        <v>46272</v>
      </c>
      <c r="C3" s="9" t="s">
        <v>67</v>
      </c>
      <c r="D3" s="9" t="s">
        <v>10</v>
      </c>
      <c r="E3" s="9" t="s">
        <v>68</v>
      </c>
      <c r="F3" s="9" t="s">
        <v>69</v>
      </c>
      <c r="G3" s="9" t="s">
        <v>70</v>
      </c>
      <c r="H3" s="9" t="s">
        <v>71</v>
      </c>
    </row>
    <row r="4" spans="2:9" ht="110.4">
      <c r="B4" s="18">
        <f>DATE(2026,9,7)</f>
        <v>46272</v>
      </c>
      <c r="C4" s="10" t="s">
        <v>67</v>
      </c>
      <c r="D4" s="10" t="s">
        <v>10</v>
      </c>
      <c r="E4" s="10" t="s">
        <v>72</v>
      </c>
      <c r="F4" s="10" t="s">
        <v>73</v>
      </c>
      <c r="G4" s="13" t="s">
        <v>74</v>
      </c>
      <c r="H4" s="13" t="s">
        <v>75</v>
      </c>
    </row>
    <row r="5" spans="2:9" ht="43.2">
      <c r="B5" s="14">
        <f t="shared" ref="B5:B12" si="0">DATE(2026,9,8)</f>
        <v>46273</v>
      </c>
      <c r="C5" s="5" t="s">
        <v>9</v>
      </c>
      <c r="D5" s="5" t="s">
        <v>10</v>
      </c>
      <c r="E5" s="5" t="s">
        <v>11</v>
      </c>
      <c r="F5" s="5" t="s">
        <v>12</v>
      </c>
      <c r="G5" s="5" t="s">
        <v>13</v>
      </c>
      <c r="H5" s="5" t="s">
        <v>14</v>
      </c>
    </row>
    <row r="6" spans="2:9" ht="28.8">
      <c r="B6" s="14">
        <f t="shared" si="0"/>
        <v>46273</v>
      </c>
      <c r="C6" s="5" t="s">
        <v>9</v>
      </c>
      <c r="D6" s="5" t="s">
        <v>10</v>
      </c>
      <c r="E6" s="5" t="s">
        <v>15</v>
      </c>
      <c r="F6" s="5" t="s">
        <v>16</v>
      </c>
      <c r="G6" s="5" t="s">
        <v>17</v>
      </c>
      <c r="H6" s="5" t="s">
        <v>18</v>
      </c>
    </row>
    <row r="7" spans="2:9" ht="28.8">
      <c r="B7" s="14">
        <f t="shared" si="0"/>
        <v>46273</v>
      </c>
      <c r="C7" s="5" t="s">
        <v>9</v>
      </c>
      <c r="D7" s="5" t="s">
        <v>10</v>
      </c>
      <c r="E7" s="5" t="s">
        <v>19</v>
      </c>
      <c r="F7" s="5" t="s">
        <v>20</v>
      </c>
      <c r="G7" s="5" t="s">
        <v>21</v>
      </c>
      <c r="H7" s="5" t="s">
        <v>22</v>
      </c>
    </row>
    <row r="8" spans="2:9" ht="43.2">
      <c r="B8" s="14">
        <f t="shared" si="0"/>
        <v>46273</v>
      </c>
      <c r="C8" s="5" t="s">
        <v>9</v>
      </c>
      <c r="D8" s="5" t="s">
        <v>10</v>
      </c>
      <c r="E8" s="5" t="s">
        <v>23</v>
      </c>
      <c r="F8" s="5" t="s">
        <v>24</v>
      </c>
      <c r="G8" s="5" t="s">
        <v>25</v>
      </c>
      <c r="H8" s="5" t="s">
        <v>26</v>
      </c>
    </row>
    <row r="9" spans="2:9" ht="43.2">
      <c r="B9" s="14">
        <f t="shared" si="0"/>
        <v>46273</v>
      </c>
      <c r="C9" s="5" t="s">
        <v>9</v>
      </c>
      <c r="D9" s="5" t="s">
        <v>10</v>
      </c>
      <c r="E9" s="5" t="s">
        <v>27</v>
      </c>
      <c r="F9" s="5" t="s">
        <v>28</v>
      </c>
      <c r="G9" s="5" t="s">
        <v>29</v>
      </c>
      <c r="H9" s="5" t="s">
        <v>30</v>
      </c>
    </row>
    <row r="10" spans="2:9" ht="28.8">
      <c r="B10" s="14">
        <f t="shared" si="0"/>
        <v>46273</v>
      </c>
      <c r="C10" s="5" t="s">
        <v>9</v>
      </c>
      <c r="D10" s="5" t="s">
        <v>10</v>
      </c>
      <c r="E10" s="5" t="s">
        <v>31</v>
      </c>
      <c r="F10" s="5" t="s">
        <v>32</v>
      </c>
      <c r="G10" s="5" t="s">
        <v>33</v>
      </c>
      <c r="H10" s="5" t="s">
        <v>34</v>
      </c>
    </row>
    <row r="11" spans="2:9" ht="110.4">
      <c r="B11" s="18">
        <f t="shared" si="0"/>
        <v>46273</v>
      </c>
      <c r="C11" s="10" t="s">
        <v>67</v>
      </c>
      <c r="D11" s="10" t="s">
        <v>10</v>
      </c>
      <c r="E11" s="10" t="s">
        <v>76</v>
      </c>
      <c r="F11" s="10" t="s">
        <v>77</v>
      </c>
      <c r="G11" s="10" t="s">
        <v>78</v>
      </c>
      <c r="H11" s="10" t="s">
        <v>79</v>
      </c>
    </row>
    <row r="12" spans="2:9" ht="110.4">
      <c r="B12" s="18">
        <f t="shared" si="0"/>
        <v>46273</v>
      </c>
      <c r="C12" s="10" t="s">
        <v>67</v>
      </c>
      <c r="D12" s="10" t="s">
        <v>10</v>
      </c>
      <c r="E12" s="10" t="s">
        <v>80</v>
      </c>
      <c r="F12" s="10" t="s">
        <v>81</v>
      </c>
      <c r="G12" s="10" t="s">
        <v>82</v>
      </c>
      <c r="H12" s="10" t="s">
        <v>83</v>
      </c>
    </row>
    <row r="13" spans="2:9" ht="43.2">
      <c r="B13" s="14">
        <f t="shared" ref="B13:B30" si="1">DATE(2026,9,9)</f>
        <v>46274</v>
      </c>
      <c r="C13" s="5" t="s">
        <v>9</v>
      </c>
      <c r="D13" s="5" t="s">
        <v>10</v>
      </c>
      <c r="E13" s="5" t="s">
        <v>35</v>
      </c>
      <c r="F13" s="5" t="s">
        <v>36</v>
      </c>
      <c r="G13" s="5" t="s">
        <v>37</v>
      </c>
      <c r="H13" s="5" t="s">
        <v>38</v>
      </c>
    </row>
    <row r="14" spans="2:9" ht="57.6">
      <c r="B14" s="14">
        <f t="shared" si="1"/>
        <v>46274</v>
      </c>
      <c r="C14" s="5" t="s">
        <v>9</v>
      </c>
      <c r="D14" s="5" t="s">
        <v>10</v>
      </c>
      <c r="E14" s="5" t="s">
        <v>39</v>
      </c>
      <c r="F14" s="5" t="s">
        <v>40</v>
      </c>
      <c r="G14" s="5" t="s">
        <v>41</v>
      </c>
      <c r="H14" s="5" t="s">
        <v>42</v>
      </c>
    </row>
    <row r="15" spans="2:9" ht="72">
      <c r="B15" s="14">
        <f t="shared" si="1"/>
        <v>46274</v>
      </c>
      <c r="C15" s="5" t="s">
        <v>9</v>
      </c>
      <c r="D15" s="5" t="s">
        <v>10</v>
      </c>
      <c r="E15" s="6" t="s">
        <v>43</v>
      </c>
      <c r="F15" s="5" t="s">
        <v>44</v>
      </c>
      <c r="G15" s="5" t="s">
        <v>45</v>
      </c>
      <c r="H15" s="5" t="s">
        <v>46</v>
      </c>
    </row>
    <row r="16" spans="2:9" ht="43.2">
      <c r="B16" s="14">
        <f t="shared" si="1"/>
        <v>46274</v>
      </c>
      <c r="C16" s="5" t="s">
        <v>9</v>
      </c>
      <c r="D16" s="5" t="s">
        <v>10</v>
      </c>
      <c r="E16" s="5" t="s">
        <v>47</v>
      </c>
      <c r="F16" s="5" t="s">
        <v>48</v>
      </c>
      <c r="G16" s="5" t="s">
        <v>49</v>
      </c>
      <c r="H16" s="5" t="s">
        <v>50</v>
      </c>
    </row>
    <row r="17" spans="2:9" ht="43.2">
      <c r="B17" s="17">
        <f t="shared" si="1"/>
        <v>46274</v>
      </c>
      <c r="C17" s="11" t="s">
        <v>9</v>
      </c>
      <c r="D17" s="11" t="s">
        <v>10</v>
      </c>
      <c r="E17" s="11" t="s">
        <v>51</v>
      </c>
      <c r="F17" s="11" t="s">
        <v>52</v>
      </c>
      <c r="G17" s="11" t="s">
        <v>53</v>
      </c>
      <c r="H17" s="11" t="s">
        <v>54</v>
      </c>
    </row>
    <row r="18" spans="2:9" ht="28.8">
      <c r="B18" s="17">
        <f t="shared" si="1"/>
        <v>46274</v>
      </c>
      <c r="C18" s="11" t="s">
        <v>9</v>
      </c>
      <c r="D18" s="11" t="s">
        <v>10</v>
      </c>
      <c r="E18" s="11" t="s">
        <v>55</v>
      </c>
      <c r="F18" s="11" t="s">
        <v>56</v>
      </c>
      <c r="G18" s="11" t="s">
        <v>57</v>
      </c>
      <c r="H18" s="11" t="s">
        <v>58</v>
      </c>
    </row>
    <row r="19" spans="2:9" ht="43.2">
      <c r="B19" s="17">
        <f t="shared" si="1"/>
        <v>46274</v>
      </c>
      <c r="C19" s="11" t="s">
        <v>9</v>
      </c>
      <c r="D19" s="11" t="s">
        <v>10</v>
      </c>
      <c r="E19" s="11" t="s">
        <v>59</v>
      </c>
      <c r="F19" s="11" t="s">
        <v>60</v>
      </c>
      <c r="G19" s="11" t="s">
        <v>61</v>
      </c>
      <c r="H19" s="11" t="s">
        <v>62</v>
      </c>
    </row>
    <row r="20" spans="2:9" ht="57.6">
      <c r="B20" s="17">
        <f t="shared" si="1"/>
        <v>46274</v>
      </c>
      <c r="C20" s="11" t="s">
        <v>9</v>
      </c>
      <c r="D20" s="11" t="s">
        <v>10</v>
      </c>
      <c r="E20" s="11" t="s">
        <v>63</v>
      </c>
      <c r="F20" s="11" t="s">
        <v>64</v>
      </c>
      <c r="G20" s="11" t="s">
        <v>65</v>
      </c>
      <c r="H20" s="11" t="s">
        <v>66</v>
      </c>
    </row>
    <row r="21" spans="2:9" ht="165.6">
      <c r="B21" s="15">
        <f t="shared" si="1"/>
        <v>46274</v>
      </c>
      <c r="C21" s="7" t="s">
        <v>67</v>
      </c>
      <c r="D21" s="7" t="s">
        <v>10</v>
      </c>
      <c r="E21" s="7" t="s">
        <v>84</v>
      </c>
      <c r="F21" s="7" t="s">
        <v>85</v>
      </c>
      <c r="G21" s="7" t="s">
        <v>86</v>
      </c>
      <c r="H21" s="7" t="s">
        <v>87</v>
      </c>
    </row>
    <row r="22" spans="2:9" ht="124.2">
      <c r="B22" s="15">
        <f t="shared" si="1"/>
        <v>46274</v>
      </c>
      <c r="C22" s="7" t="s">
        <v>67</v>
      </c>
      <c r="D22" s="7" t="s">
        <v>10</v>
      </c>
      <c r="E22" s="7" t="s">
        <v>88</v>
      </c>
      <c r="F22" s="7" t="s">
        <v>89</v>
      </c>
      <c r="G22" s="7" t="s">
        <v>90</v>
      </c>
      <c r="H22" s="7" t="s">
        <v>91</v>
      </c>
    </row>
    <row r="23" spans="2:9" ht="110.4">
      <c r="B23" s="15">
        <f t="shared" si="1"/>
        <v>46274</v>
      </c>
      <c r="C23" s="7" t="s">
        <v>67</v>
      </c>
      <c r="D23" s="7" t="s">
        <v>10</v>
      </c>
      <c r="E23" s="7" t="s">
        <v>92</v>
      </c>
      <c r="F23" s="7" t="s">
        <v>93</v>
      </c>
      <c r="G23" s="7" t="s">
        <v>94</v>
      </c>
      <c r="H23" s="7" t="s">
        <v>95</v>
      </c>
    </row>
    <row r="24" spans="2:9" ht="96.6">
      <c r="B24" s="15">
        <f t="shared" si="1"/>
        <v>46274</v>
      </c>
      <c r="C24" s="7" t="s">
        <v>67</v>
      </c>
      <c r="D24" s="7" t="s">
        <v>10</v>
      </c>
      <c r="E24" s="7" t="s">
        <v>96</v>
      </c>
      <c r="F24" s="7" t="s">
        <v>97</v>
      </c>
      <c r="G24" s="7" t="s">
        <v>98</v>
      </c>
      <c r="H24" s="7" t="s">
        <v>99</v>
      </c>
    </row>
    <row r="25" spans="2:9" ht="55.2">
      <c r="B25" s="15">
        <f t="shared" si="1"/>
        <v>46274</v>
      </c>
      <c r="C25" s="7" t="s">
        <v>67</v>
      </c>
      <c r="D25" s="7" t="s">
        <v>10</v>
      </c>
      <c r="E25" s="7" t="s">
        <v>100</v>
      </c>
      <c r="F25" s="7" t="s">
        <v>101</v>
      </c>
      <c r="G25" s="7" t="s">
        <v>102</v>
      </c>
      <c r="H25" s="7" t="s">
        <v>103</v>
      </c>
    </row>
    <row r="26" spans="2:9" ht="138">
      <c r="B26" s="15">
        <f t="shared" si="1"/>
        <v>46274</v>
      </c>
      <c r="C26" s="7" t="s">
        <v>67</v>
      </c>
      <c r="D26" s="7" t="s">
        <v>10</v>
      </c>
      <c r="E26" s="7" t="s">
        <v>104</v>
      </c>
      <c r="F26" s="7" t="s">
        <v>105</v>
      </c>
      <c r="G26" s="7" t="s">
        <v>106</v>
      </c>
      <c r="H26" s="7" t="s">
        <v>107</v>
      </c>
    </row>
    <row r="27" spans="2:9" ht="86.4">
      <c r="B27" s="15">
        <f t="shared" si="1"/>
        <v>46274</v>
      </c>
      <c r="C27" s="5" t="s">
        <v>108</v>
      </c>
      <c r="D27" s="7" t="s">
        <v>10</v>
      </c>
      <c r="E27" s="5" t="s">
        <v>109</v>
      </c>
      <c r="F27" s="5" t="s">
        <v>110</v>
      </c>
      <c r="G27" s="5" t="s">
        <v>111</v>
      </c>
      <c r="H27" s="5" t="s">
        <v>112</v>
      </c>
    </row>
    <row r="28" spans="2:9" ht="86.4">
      <c r="B28" s="15">
        <f t="shared" si="1"/>
        <v>46274</v>
      </c>
      <c r="C28" s="5" t="s">
        <v>108</v>
      </c>
      <c r="D28" s="7" t="s">
        <v>10</v>
      </c>
      <c r="E28" s="5" t="s">
        <v>113</v>
      </c>
      <c r="F28" s="5" t="s">
        <v>114</v>
      </c>
      <c r="G28" s="5" t="s">
        <v>115</v>
      </c>
      <c r="H28" s="5" t="s">
        <v>116</v>
      </c>
    </row>
    <row r="29" spans="2:9" ht="86.4">
      <c r="B29" s="15">
        <f t="shared" si="1"/>
        <v>46274</v>
      </c>
      <c r="C29" s="5" t="s">
        <v>108</v>
      </c>
      <c r="D29" s="7" t="s">
        <v>10</v>
      </c>
      <c r="E29" s="5" t="s">
        <v>117</v>
      </c>
      <c r="F29" s="5" t="s">
        <v>118</v>
      </c>
      <c r="G29" s="5" t="s">
        <v>119</v>
      </c>
      <c r="H29" s="5" t="s">
        <v>120</v>
      </c>
    </row>
    <row r="30" spans="2:9" ht="86.4">
      <c r="B30" s="15">
        <f t="shared" si="1"/>
        <v>46274</v>
      </c>
      <c r="C30" s="5" t="s">
        <v>108</v>
      </c>
      <c r="D30" s="7" t="s">
        <v>10</v>
      </c>
      <c r="E30" s="5" t="s">
        <v>121</v>
      </c>
      <c r="F30" s="5" t="s">
        <v>122</v>
      </c>
      <c r="G30" s="5" t="s">
        <v>123</v>
      </c>
      <c r="H30" s="5" t="s">
        <v>124</v>
      </c>
    </row>
    <row r="31" spans="2:9" ht="115.2">
      <c r="B31" s="15">
        <v>46294</v>
      </c>
      <c r="C31" s="5" t="s">
        <v>108</v>
      </c>
      <c r="D31" s="7" t="s">
        <v>125</v>
      </c>
      <c r="E31" s="5" t="s">
        <v>126</v>
      </c>
      <c r="F31" s="5" t="s">
        <v>127</v>
      </c>
      <c r="G31" s="5" t="s">
        <v>128</v>
      </c>
      <c r="H31" s="5" t="s">
        <v>129</v>
      </c>
      <c r="I31" s="5" t="s">
        <v>130</v>
      </c>
    </row>
    <row r="32" spans="2:9" ht="100.8">
      <c r="B32" s="15">
        <v>46294</v>
      </c>
      <c r="C32" s="5" t="s">
        <v>108</v>
      </c>
      <c r="D32" s="7" t="s">
        <v>125</v>
      </c>
      <c r="E32" s="5" t="s">
        <v>131</v>
      </c>
      <c r="F32" s="5" t="s">
        <v>132</v>
      </c>
      <c r="G32" s="5" t="s">
        <v>133</v>
      </c>
      <c r="H32" s="5" t="s">
        <v>134</v>
      </c>
      <c r="I32" s="5" t="s">
        <v>135</v>
      </c>
    </row>
    <row r="33" spans="2:9" ht="86.4">
      <c r="B33" s="15">
        <v>46294</v>
      </c>
      <c r="C33" s="5" t="s">
        <v>108</v>
      </c>
      <c r="D33" s="7" t="s">
        <v>125</v>
      </c>
      <c r="E33" s="5" t="s">
        <v>136</v>
      </c>
      <c r="F33" s="5" t="s">
        <v>137</v>
      </c>
      <c r="G33" s="5" t="s">
        <v>138</v>
      </c>
      <c r="H33" s="5" t="s">
        <v>139</v>
      </c>
      <c r="I33" s="5" t="s">
        <v>140</v>
      </c>
    </row>
    <row r="34" spans="2:9" ht="86.4">
      <c r="B34" s="15">
        <v>46294</v>
      </c>
      <c r="C34" s="5" t="s">
        <v>108</v>
      </c>
      <c r="D34" s="7" t="s">
        <v>125</v>
      </c>
      <c r="E34" s="5" t="s">
        <v>141</v>
      </c>
      <c r="F34" s="5" t="s">
        <v>142</v>
      </c>
      <c r="G34" s="5" t="s">
        <v>143</v>
      </c>
      <c r="H34" s="5" t="s">
        <v>144</v>
      </c>
      <c r="I34" s="5" t="s">
        <v>145</v>
      </c>
    </row>
    <row r="35" spans="2:9" ht="100.8">
      <c r="B35" s="15">
        <v>46294</v>
      </c>
      <c r="C35" s="5" t="s">
        <v>108</v>
      </c>
      <c r="D35" s="7" t="s">
        <v>125</v>
      </c>
      <c r="E35" s="5" t="s">
        <v>146</v>
      </c>
      <c r="F35" s="5" t="s">
        <v>147</v>
      </c>
      <c r="G35" s="5" t="s">
        <v>148</v>
      </c>
      <c r="H35" s="5" t="s">
        <v>149</v>
      </c>
      <c r="I35" s="5" t="s">
        <v>150</v>
      </c>
    </row>
    <row r="36" spans="2:9" ht="115.2">
      <c r="B36" s="15">
        <v>46294</v>
      </c>
      <c r="C36" s="5" t="s">
        <v>108</v>
      </c>
      <c r="D36" s="7" t="s">
        <v>125</v>
      </c>
      <c r="E36" s="5" t="s">
        <v>151</v>
      </c>
      <c r="F36" s="5" t="s">
        <v>152</v>
      </c>
      <c r="G36" s="5" t="s">
        <v>153</v>
      </c>
      <c r="H36" s="5" t="s">
        <v>154</v>
      </c>
      <c r="I36" s="5" t="s">
        <v>155</v>
      </c>
    </row>
    <row r="37" spans="2:9" ht="86.4">
      <c r="B37" s="15">
        <v>46294</v>
      </c>
      <c r="C37" s="5" t="s">
        <v>108</v>
      </c>
      <c r="D37" s="7" t="s">
        <v>125</v>
      </c>
      <c r="E37" s="5" t="s">
        <v>156</v>
      </c>
      <c r="F37" s="5" t="s">
        <v>157</v>
      </c>
      <c r="G37" s="5" t="s">
        <v>158</v>
      </c>
      <c r="H37" s="5" t="s">
        <v>159</v>
      </c>
      <c r="I37" s="5" t="s">
        <v>160</v>
      </c>
    </row>
    <row r="38" spans="2:9" ht="86.4">
      <c r="B38" s="15">
        <v>46294</v>
      </c>
      <c r="C38" s="5" t="s">
        <v>108</v>
      </c>
      <c r="D38" s="7" t="s">
        <v>125</v>
      </c>
      <c r="E38" s="5" t="s">
        <v>161</v>
      </c>
      <c r="F38" s="5" t="s">
        <v>162</v>
      </c>
      <c r="G38" s="5" t="s">
        <v>163</v>
      </c>
      <c r="H38" s="5" t="s">
        <v>164</v>
      </c>
      <c r="I38" s="5" t="s">
        <v>165</v>
      </c>
    </row>
    <row r="39" spans="2:9" ht="72">
      <c r="B39" s="15">
        <v>46294</v>
      </c>
      <c r="C39" s="5" t="s">
        <v>108</v>
      </c>
      <c r="D39" s="7" t="s">
        <v>125</v>
      </c>
      <c r="E39" s="5" t="s">
        <v>166</v>
      </c>
      <c r="F39" s="5" t="s">
        <v>167</v>
      </c>
      <c r="G39" s="5" t="s">
        <v>168</v>
      </c>
      <c r="H39" s="5" t="s">
        <v>169</v>
      </c>
      <c r="I39" s="5" t="s">
        <v>170</v>
      </c>
    </row>
    <row r="40" spans="2:9" ht="57.6">
      <c r="B40" s="15">
        <v>46294</v>
      </c>
      <c r="C40" s="5" t="s">
        <v>108</v>
      </c>
      <c r="D40" s="7" t="s">
        <v>125</v>
      </c>
      <c r="E40" s="5" t="s">
        <v>171</v>
      </c>
      <c r="F40" s="5" t="s">
        <v>172</v>
      </c>
      <c r="G40" s="5" t="s">
        <v>173</v>
      </c>
      <c r="H40" s="5" t="s">
        <v>174</v>
      </c>
      <c r="I40" s="5" t="s">
        <v>175</v>
      </c>
    </row>
    <row r="41" spans="2:9" ht="129.6">
      <c r="B41" s="15">
        <v>46294</v>
      </c>
      <c r="C41" s="5" t="s">
        <v>108</v>
      </c>
      <c r="D41" s="7" t="s">
        <v>125</v>
      </c>
      <c r="E41" s="5" t="s">
        <v>176</v>
      </c>
      <c r="F41" s="5" t="s">
        <v>177</v>
      </c>
      <c r="G41" s="5" t="s">
        <v>178</v>
      </c>
      <c r="H41" s="5" t="s">
        <v>139</v>
      </c>
      <c r="I41" s="5" t="s">
        <v>179</v>
      </c>
    </row>
    <row r="42" spans="2:9" ht="43.2">
      <c r="B42" s="15">
        <v>46294</v>
      </c>
      <c r="C42" s="5" t="s">
        <v>67</v>
      </c>
      <c r="D42" s="7" t="s">
        <v>180</v>
      </c>
      <c r="E42" s="5" t="s">
        <v>181</v>
      </c>
      <c r="F42" s="5" t="s">
        <v>182</v>
      </c>
      <c r="G42" s="5" t="s">
        <v>206</v>
      </c>
      <c r="H42" s="5" t="s">
        <v>183</v>
      </c>
      <c r="I42" s="5" t="s">
        <v>184</v>
      </c>
    </row>
    <row r="43" spans="2:9" ht="72">
      <c r="B43" s="15">
        <v>46294</v>
      </c>
      <c r="C43" s="5" t="s">
        <v>67</v>
      </c>
      <c r="D43" s="7" t="s">
        <v>180</v>
      </c>
      <c r="E43" s="5" t="s">
        <v>203</v>
      </c>
      <c r="F43" s="5" t="s">
        <v>204</v>
      </c>
      <c r="G43" s="5" t="s">
        <v>209</v>
      </c>
      <c r="H43" s="5" t="s">
        <v>208</v>
      </c>
      <c r="I43" s="5" t="s">
        <v>205</v>
      </c>
    </row>
    <row r="44" spans="2:9" ht="57.6">
      <c r="B44" s="15">
        <v>46295</v>
      </c>
      <c r="C44" s="5" t="s">
        <v>67</v>
      </c>
      <c r="D44" s="7" t="s">
        <v>180</v>
      </c>
      <c r="E44" s="5" t="s">
        <v>199</v>
      </c>
      <c r="F44" s="5" t="s">
        <v>200</v>
      </c>
      <c r="G44" s="5" t="s">
        <v>201</v>
      </c>
      <c r="H44" s="5" t="s">
        <v>207</v>
      </c>
      <c r="I44" s="5" t="s">
        <v>202</v>
      </c>
    </row>
    <row r="45" spans="2:9" ht="43.2">
      <c r="B45" s="15">
        <v>46295</v>
      </c>
      <c r="C45" s="5" t="s">
        <v>67</v>
      </c>
      <c r="D45" s="7" t="s">
        <v>180</v>
      </c>
      <c r="E45" s="1" t="s">
        <v>185</v>
      </c>
      <c r="F45" s="12" t="s">
        <v>186</v>
      </c>
      <c r="G45" s="12" t="s">
        <v>187</v>
      </c>
      <c r="H45" s="12" t="s">
        <v>188</v>
      </c>
      <c r="I45" s="5" t="s">
        <v>189</v>
      </c>
    </row>
    <row r="46" spans="2:9" ht="43.2">
      <c r="B46" s="15">
        <v>46295</v>
      </c>
      <c r="C46" s="5" t="s">
        <v>67</v>
      </c>
      <c r="D46" s="7" t="s">
        <v>180</v>
      </c>
      <c r="E46" s="5" t="s">
        <v>190</v>
      </c>
      <c r="F46" s="5" t="s">
        <v>191</v>
      </c>
      <c r="G46" s="5" t="s">
        <v>192</v>
      </c>
      <c r="H46" s="5" t="s">
        <v>193</v>
      </c>
      <c r="I46" s="5" t="s">
        <v>194</v>
      </c>
    </row>
    <row r="47" spans="2:9" ht="43.2">
      <c r="B47" s="15">
        <v>46295</v>
      </c>
      <c r="C47" s="5" t="s">
        <v>67</v>
      </c>
      <c r="D47" s="7" t="s">
        <v>180</v>
      </c>
      <c r="E47" s="1" t="s">
        <v>195</v>
      </c>
      <c r="F47" s="5" t="s">
        <v>196</v>
      </c>
      <c r="G47" s="5" t="s">
        <v>197</v>
      </c>
      <c r="H47" s="5" t="s">
        <v>183</v>
      </c>
      <c r="I47" s="5" t="s">
        <v>198</v>
      </c>
    </row>
    <row r="48" spans="2:9" ht="144">
      <c r="B48" s="15">
        <v>46295</v>
      </c>
      <c r="C48" s="5" t="s">
        <v>9</v>
      </c>
      <c r="D48" s="7" t="s">
        <v>10</v>
      </c>
      <c r="E48" s="5" t="s">
        <v>210</v>
      </c>
      <c r="F48" s="5" t="s">
        <v>211</v>
      </c>
      <c r="G48" s="5" t="s">
        <v>212</v>
      </c>
      <c r="H48" s="5" t="s">
        <v>183</v>
      </c>
      <c r="I48" s="5" t="s">
        <v>213</v>
      </c>
    </row>
    <row r="49" spans="2:9" ht="187.2">
      <c r="B49" s="15">
        <v>46295</v>
      </c>
      <c r="C49" s="5" t="s">
        <v>9</v>
      </c>
      <c r="D49" s="7" t="s">
        <v>180</v>
      </c>
      <c r="E49" s="5" t="s">
        <v>214</v>
      </c>
      <c r="F49" s="5" t="s">
        <v>215</v>
      </c>
      <c r="G49" s="5" t="s">
        <v>216</v>
      </c>
      <c r="H49" s="5" t="s">
        <v>183</v>
      </c>
      <c r="I49" s="5" t="s">
        <v>217</v>
      </c>
    </row>
    <row r="50" spans="2:9" ht="144">
      <c r="B50" s="15">
        <v>46295</v>
      </c>
      <c r="C50" s="5" t="s">
        <v>9</v>
      </c>
      <c r="D50" s="7" t="s">
        <v>10</v>
      </c>
      <c r="E50" s="5" t="s">
        <v>218</v>
      </c>
      <c r="F50" s="5" t="s">
        <v>219</v>
      </c>
      <c r="G50" s="5" t="s">
        <v>220</v>
      </c>
      <c r="H50" s="5" t="s">
        <v>221</v>
      </c>
      <c r="I50" s="5" t="s">
        <v>222</v>
      </c>
    </row>
    <row r="51" spans="2:9" ht="187.2">
      <c r="B51" s="15">
        <v>46295</v>
      </c>
      <c r="C51" s="5" t="s">
        <v>9</v>
      </c>
      <c r="D51" s="7" t="s">
        <v>180</v>
      </c>
      <c r="E51" s="5" t="s">
        <v>223</v>
      </c>
      <c r="F51" s="5" t="s">
        <v>224</v>
      </c>
      <c r="G51" s="5" t="s">
        <v>225</v>
      </c>
      <c r="H51" s="5" t="s">
        <v>226</v>
      </c>
      <c r="I51" s="5" t="s">
        <v>227</v>
      </c>
    </row>
    <row r="52" spans="2:9" ht="144">
      <c r="B52" s="15">
        <v>46295</v>
      </c>
      <c r="C52" s="5" t="s">
        <v>9</v>
      </c>
      <c r="D52" s="7" t="s">
        <v>10</v>
      </c>
      <c r="E52" s="5" t="s">
        <v>228</v>
      </c>
      <c r="F52" s="5" t="s">
        <v>229</v>
      </c>
      <c r="G52" s="5" t="s">
        <v>231</v>
      </c>
      <c r="H52" s="5" t="s">
        <v>230</v>
      </c>
      <c r="I52" s="5" t="s">
        <v>232</v>
      </c>
    </row>
    <row r="53" spans="2:9" ht="115.2">
      <c r="B53" s="15">
        <v>46295</v>
      </c>
      <c r="C53" s="5" t="s">
        <v>9</v>
      </c>
      <c r="D53" s="7" t="s">
        <v>180</v>
      </c>
      <c r="E53" s="5" t="s">
        <v>233</v>
      </c>
      <c r="F53" s="5" t="s">
        <v>234</v>
      </c>
      <c r="G53" s="5" t="s">
        <v>235</v>
      </c>
      <c r="H53" s="5" t="s">
        <v>183</v>
      </c>
      <c r="I53" s="5" t="s">
        <v>236</v>
      </c>
    </row>
    <row r="54" spans="2:9" ht="288">
      <c r="B54" s="15">
        <v>46306</v>
      </c>
      <c r="C54" s="5" t="s">
        <v>9</v>
      </c>
      <c r="D54" s="7" t="s">
        <v>180</v>
      </c>
      <c r="E54" s="5" t="s">
        <v>237</v>
      </c>
      <c r="F54" s="5" t="s">
        <v>238</v>
      </c>
      <c r="G54" s="5" t="s">
        <v>241</v>
      </c>
      <c r="H54" s="5" t="s">
        <v>239</v>
      </c>
      <c r="I54" s="5" t="s">
        <v>240</v>
      </c>
    </row>
    <row r="55" spans="2:9" ht="273.60000000000002">
      <c r="B55" s="15">
        <v>46307</v>
      </c>
      <c r="C55" s="5" t="s">
        <v>9</v>
      </c>
      <c r="D55" s="7" t="s">
        <v>180</v>
      </c>
      <c r="E55" s="5" t="s">
        <v>242</v>
      </c>
      <c r="F55" s="5" t="s">
        <v>243</v>
      </c>
      <c r="G55" s="5" t="s">
        <v>244</v>
      </c>
      <c r="H55" s="5" t="s">
        <v>239</v>
      </c>
      <c r="I55" s="5" t="s">
        <v>245</v>
      </c>
    </row>
    <row r="56" spans="2:9" ht="409.35" customHeight="1">
      <c r="B56" s="15">
        <v>46308</v>
      </c>
      <c r="C56" s="5" t="s">
        <v>9</v>
      </c>
      <c r="D56" s="7" t="s">
        <v>180</v>
      </c>
      <c r="E56" s="5" t="s">
        <v>246</v>
      </c>
      <c r="F56" s="5" t="s">
        <v>247</v>
      </c>
      <c r="G56" s="5" t="s">
        <v>248</v>
      </c>
      <c r="H56" s="5" t="s">
        <v>249</v>
      </c>
      <c r="I56" s="5" t="s">
        <v>250</v>
      </c>
    </row>
    <row r="57" spans="2:9" ht="345.6">
      <c r="B57" s="15">
        <v>46308</v>
      </c>
      <c r="C57" s="5" t="s">
        <v>9</v>
      </c>
      <c r="D57" s="7" t="s">
        <v>180</v>
      </c>
      <c r="E57" s="5" t="s">
        <v>251</v>
      </c>
      <c r="F57" s="5" t="s">
        <v>252</v>
      </c>
      <c r="G57" s="5" t="s">
        <v>253</v>
      </c>
      <c r="H57" s="5" t="s">
        <v>254</v>
      </c>
      <c r="I57" s="5" t="s">
        <v>255</v>
      </c>
    </row>
    <row r="58" spans="2:9" ht="172.8">
      <c r="B58" s="15">
        <v>46308</v>
      </c>
      <c r="C58" s="5" t="s">
        <v>9</v>
      </c>
      <c r="D58" s="7" t="s">
        <v>180</v>
      </c>
      <c r="E58" s="5" t="s">
        <v>256</v>
      </c>
      <c r="F58" s="5" t="s">
        <v>257</v>
      </c>
      <c r="G58" s="5" t="s">
        <v>258</v>
      </c>
      <c r="H58" s="5" t="s">
        <v>259</v>
      </c>
      <c r="I58" s="5" t="s">
        <v>260</v>
      </c>
    </row>
    <row r="59" spans="2:9" ht="288">
      <c r="B59" s="15">
        <v>46308</v>
      </c>
      <c r="C59" s="5" t="s">
        <v>9</v>
      </c>
      <c r="D59" s="7" t="s">
        <v>180</v>
      </c>
      <c r="E59" s="5" t="s">
        <v>261</v>
      </c>
      <c r="F59" s="5" t="s">
        <v>262</v>
      </c>
      <c r="G59" s="5" t="s">
        <v>263</v>
      </c>
      <c r="H59" s="5" t="s">
        <v>264</v>
      </c>
      <c r="I59" s="5" t="s">
        <v>265</v>
      </c>
    </row>
    <row r="60" spans="2:9" ht="129.6">
      <c r="B60" s="15">
        <f>DATE(2026,10,13)</f>
        <v>46308</v>
      </c>
      <c r="C60" s="5" t="s">
        <v>67</v>
      </c>
      <c r="D60" s="7" t="s">
        <v>10</v>
      </c>
      <c r="E60" s="5" t="s">
        <v>296</v>
      </c>
      <c r="F60" s="5" t="s">
        <v>297</v>
      </c>
      <c r="G60" s="5" t="s">
        <v>298</v>
      </c>
      <c r="H60" s="5" t="s">
        <v>299</v>
      </c>
      <c r="I60" s="5" t="s">
        <v>300</v>
      </c>
    </row>
    <row r="61" spans="2:9" ht="100.8">
      <c r="B61" s="15">
        <f>DATE(2026,10,13)</f>
        <v>46308</v>
      </c>
      <c r="C61" s="5" t="s">
        <v>67</v>
      </c>
      <c r="D61" s="7" t="s">
        <v>10</v>
      </c>
      <c r="E61" s="5" t="s">
        <v>301</v>
      </c>
      <c r="F61" s="5" t="s">
        <v>302</v>
      </c>
      <c r="G61" s="5" t="s">
        <v>303</v>
      </c>
      <c r="H61" s="5" t="s">
        <v>304</v>
      </c>
      <c r="I61" s="5" t="s">
        <v>305</v>
      </c>
    </row>
    <row r="62" spans="2:9" ht="57.6">
      <c r="B62" s="15">
        <v>46309</v>
      </c>
      <c r="C62" s="5" t="s">
        <v>9</v>
      </c>
      <c r="D62" s="7" t="s">
        <v>10</v>
      </c>
      <c r="E62" s="5" t="s">
        <v>266</v>
      </c>
      <c r="F62" s="5" t="s">
        <v>267</v>
      </c>
      <c r="G62" s="5" t="s">
        <v>268</v>
      </c>
      <c r="H62" s="5" t="s">
        <v>269</v>
      </c>
      <c r="I62" s="5" t="s">
        <v>295</v>
      </c>
    </row>
    <row r="63" spans="2:9" ht="115.2">
      <c r="B63" s="15">
        <f>DATE(2026,10,14)</f>
        <v>46309</v>
      </c>
      <c r="C63" s="5" t="s">
        <v>67</v>
      </c>
      <c r="D63" s="7" t="s">
        <v>10</v>
      </c>
      <c r="E63" s="5" t="s">
        <v>306</v>
      </c>
      <c r="F63" s="5" t="s">
        <v>307</v>
      </c>
      <c r="G63" s="5" t="s">
        <v>308</v>
      </c>
      <c r="H63" s="5" t="s">
        <v>309</v>
      </c>
      <c r="I63" s="5" t="s">
        <v>310</v>
      </c>
    </row>
    <row r="64" spans="2:9" ht="72">
      <c r="B64" s="15">
        <f>DATE(2026,10,14)</f>
        <v>46309</v>
      </c>
      <c r="C64" s="5" t="s">
        <v>326</v>
      </c>
      <c r="D64" s="7" t="s">
        <v>10</v>
      </c>
      <c r="E64" s="5" t="s">
        <v>327</v>
      </c>
      <c r="F64" s="5" t="s">
        <v>328</v>
      </c>
      <c r="G64" s="5" t="s">
        <v>329</v>
      </c>
      <c r="H64" s="5" t="s">
        <v>330</v>
      </c>
      <c r="I64" s="5" t="s">
        <v>331</v>
      </c>
    </row>
    <row r="65" spans="2:9" ht="86.4">
      <c r="B65" s="15">
        <f>DATE(2026,10,14)</f>
        <v>46309</v>
      </c>
      <c r="C65" s="5" t="s">
        <v>326</v>
      </c>
      <c r="D65" s="7" t="s">
        <v>10</v>
      </c>
      <c r="E65" s="5" t="s">
        <v>332</v>
      </c>
      <c r="F65" s="5" t="s">
        <v>333</v>
      </c>
      <c r="G65" s="5" t="s">
        <v>334</v>
      </c>
      <c r="H65" s="5" t="s">
        <v>335</v>
      </c>
      <c r="I65" s="5" t="s">
        <v>336</v>
      </c>
    </row>
    <row r="66" spans="2:9" ht="86.4">
      <c r="B66" s="15">
        <f>DATE(2026,10,14)</f>
        <v>46309</v>
      </c>
      <c r="C66" s="5" t="s">
        <v>326</v>
      </c>
      <c r="D66" s="7" t="s">
        <v>10</v>
      </c>
      <c r="E66" s="5" t="s">
        <v>337</v>
      </c>
      <c r="F66" s="5" t="s">
        <v>338</v>
      </c>
      <c r="G66" s="5" t="s">
        <v>339</v>
      </c>
      <c r="H66" s="5" t="s">
        <v>340</v>
      </c>
      <c r="I66" s="5" t="s">
        <v>341</v>
      </c>
    </row>
    <row r="67" spans="2:9" ht="57.6">
      <c r="B67" s="15">
        <f>DATE(2026,10,14)</f>
        <v>46309</v>
      </c>
      <c r="C67" s="5" t="s">
        <v>326</v>
      </c>
      <c r="D67" s="7" t="s">
        <v>10</v>
      </c>
      <c r="E67" s="5" t="s">
        <v>342</v>
      </c>
      <c r="F67" s="5" t="s">
        <v>343</v>
      </c>
      <c r="G67" s="5" t="s">
        <v>344</v>
      </c>
      <c r="H67" s="5" t="s">
        <v>345</v>
      </c>
      <c r="I67" s="5" t="s">
        <v>346</v>
      </c>
    </row>
    <row r="68" spans="2:9" ht="129.6">
      <c r="B68" s="15">
        <v>46310</v>
      </c>
      <c r="C68" s="5" t="s">
        <v>9</v>
      </c>
      <c r="D68" s="7" t="s">
        <v>10</v>
      </c>
      <c r="E68" s="5" t="s">
        <v>270</v>
      </c>
      <c r="F68" s="5" t="s">
        <v>271</v>
      </c>
      <c r="G68" s="5" t="s">
        <v>272</v>
      </c>
      <c r="H68" s="5" t="s">
        <v>273</v>
      </c>
      <c r="I68" s="5" t="s">
        <v>274</v>
      </c>
    </row>
    <row r="69" spans="2:9" ht="86.4">
      <c r="B69" s="15">
        <v>46310</v>
      </c>
      <c r="C69" s="5" t="s">
        <v>9</v>
      </c>
      <c r="D69" s="7" t="s">
        <v>10</v>
      </c>
      <c r="E69" s="5" t="s">
        <v>275</v>
      </c>
      <c r="F69" s="5" t="s">
        <v>276</v>
      </c>
      <c r="G69" s="5" t="s">
        <v>277</v>
      </c>
      <c r="H69" s="5" t="s">
        <v>278</v>
      </c>
      <c r="I69" s="5" t="s">
        <v>279</v>
      </c>
    </row>
    <row r="70" spans="2:9" ht="57.6">
      <c r="B70" s="15">
        <v>46310</v>
      </c>
      <c r="C70" s="5" t="s">
        <v>9</v>
      </c>
      <c r="D70" s="7" t="s">
        <v>10</v>
      </c>
      <c r="E70" s="5" t="s">
        <v>280</v>
      </c>
      <c r="F70" s="5" t="s">
        <v>281</v>
      </c>
      <c r="G70" s="5" t="s">
        <v>282</v>
      </c>
      <c r="H70" s="5" t="s">
        <v>283</v>
      </c>
      <c r="I70" s="5" t="s">
        <v>284</v>
      </c>
    </row>
    <row r="71" spans="2:9" ht="86.4">
      <c r="B71" s="15">
        <v>46310</v>
      </c>
      <c r="C71" s="5" t="s">
        <v>9</v>
      </c>
      <c r="D71" s="7" t="s">
        <v>10</v>
      </c>
      <c r="E71" s="5" t="s">
        <v>285</v>
      </c>
      <c r="F71" s="5" t="s">
        <v>286</v>
      </c>
      <c r="G71" s="5" t="s">
        <v>287</v>
      </c>
      <c r="H71" s="5" t="s">
        <v>288</v>
      </c>
      <c r="I71" s="5" t="s">
        <v>289</v>
      </c>
    </row>
    <row r="72" spans="2:9" ht="100.8">
      <c r="B72" s="15">
        <v>46310</v>
      </c>
      <c r="C72" s="5" t="s">
        <v>9</v>
      </c>
      <c r="D72" s="7" t="s">
        <v>10</v>
      </c>
      <c r="E72" s="5" t="s">
        <v>290</v>
      </c>
      <c r="F72" s="5" t="s">
        <v>291</v>
      </c>
      <c r="G72" s="5" t="s">
        <v>292</v>
      </c>
      <c r="H72" s="5" t="s">
        <v>293</v>
      </c>
      <c r="I72" s="5" t="s">
        <v>294</v>
      </c>
    </row>
    <row r="73" spans="2:9" ht="86.4">
      <c r="B73" s="15">
        <f t="shared" ref="B73:B78" si="2">DATE(2026,10,15)</f>
        <v>46310</v>
      </c>
      <c r="C73" s="5" t="s">
        <v>326</v>
      </c>
      <c r="D73" s="7" t="s">
        <v>10</v>
      </c>
      <c r="E73" s="5" t="s">
        <v>347</v>
      </c>
      <c r="F73" s="5" t="s">
        <v>348</v>
      </c>
      <c r="G73" s="5" t="s">
        <v>349</v>
      </c>
      <c r="H73" s="5" t="s">
        <v>350</v>
      </c>
      <c r="I73" s="5" t="s">
        <v>351</v>
      </c>
    </row>
    <row r="74" spans="2:9" ht="100.8">
      <c r="B74" s="15">
        <f t="shared" si="2"/>
        <v>46310</v>
      </c>
      <c r="C74" s="5" t="s">
        <v>326</v>
      </c>
      <c r="D74" s="7" t="s">
        <v>10</v>
      </c>
      <c r="E74" s="5" t="s">
        <v>352</v>
      </c>
      <c r="F74" s="5" t="s">
        <v>353</v>
      </c>
      <c r="G74" s="5" t="s">
        <v>354</v>
      </c>
      <c r="H74" s="5" t="s">
        <v>355</v>
      </c>
      <c r="I74" s="5" t="s">
        <v>356</v>
      </c>
    </row>
    <row r="75" spans="2:9" ht="86.4">
      <c r="B75" s="15">
        <f t="shared" si="2"/>
        <v>46310</v>
      </c>
      <c r="C75" s="5" t="s">
        <v>326</v>
      </c>
      <c r="D75" s="7" t="s">
        <v>10</v>
      </c>
      <c r="E75" s="5" t="s">
        <v>357</v>
      </c>
      <c r="F75" s="5" t="s">
        <v>358</v>
      </c>
      <c r="G75" s="5" t="s">
        <v>359</v>
      </c>
      <c r="H75" s="5" t="s">
        <v>360</v>
      </c>
      <c r="I75" s="5" t="s">
        <v>361</v>
      </c>
    </row>
    <row r="76" spans="2:9" ht="158.4">
      <c r="B76" s="15">
        <f t="shared" si="2"/>
        <v>46310</v>
      </c>
      <c r="C76" s="5" t="s">
        <v>326</v>
      </c>
      <c r="D76" s="7" t="s">
        <v>10</v>
      </c>
      <c r="E76" s="5" t="s">
        <v>362</v>
      </c>
      <c r="F76" s="5" t="s">
        <v>363</v>
      </c>
      <c r="G76" s="5" t="s">
        <v>364</v>
      </c>
      <c r="H76" s="5" t="s">
        <v>365</v>
      </c>
      <c r="I76" s="5" t="s">
        <v>366</v>
      </c>
    </row>
    <row r="77" spans="2:9" ht="72">
      <c r="B77" s="15">
        <f t="shared" si="2"/>
        <v>46310</v>
      </c>
      <c r="C77" s="5" t="s">
        <v>326</v>
      </c>
      <c r="D77" s="7" t="s">
        <v>10</v>
      </c>
      <c r="E77" s="5" t="s">
        <v>367</v>
      </c>
      <c r="F77" s="5" t="s">
        <v>368</v>
      </c>
      <c r="G77" s="5" t="s">
        <v>369</v>
      </c>
      <c r="H77" s="5" t="s">
        <v>370</v>
      </c>
      <c r="I77" s="5" t="s">
        <v>371</v>
      </c>
    </row>
    <row r="78" spans="2:9" ht="57.6">
      <c r="B78" s="15">
        <f t="shared" si="2"/>
        <v>46310</v>
      </c>
      <c r="C78" s="5" t="s">
        <v>326</v>
      </c>
      <c r="D78" s="7" t="s">
        <v>10</v>
      </c>
      <c r="E78" s="5" t="s">
        <v>372</v>
      </c>
      <c r="F78" s="5" t="s">
        <v>373</v>
      </c>
      <c r="G78" s="5" t="s">
        <v>374</v>
      </c>
      <c r="H78" s="5" t="s">
        <v>139</v>
      </c>
      <c r="I78" s="5" t="s">
        <v>375</v>
      </c>
    </row>
    <row r="79" spans="2:9" ht="72">
      <c r="B79" s="15">
        <f>DATE(2026,10,16)</f>
        <v>46311</v>
      </c>
      <c r="C79" s="5" t="s">
        <v>67</v>
      </c>
      <c r="D79" s="7" t="s">
        <v>10</v>
      </c>
      <c r="E79" s="5" t="s">
        <v>311</v>
      </c>
      <c r="F79" s="5" t="s">
        <v>312</v>
      </c>
      <c r="G79" s="5" t="s">
        <v>313</v>
      </c>
      <c r="H79" s="5" t="s">
        <v>314</v>
      </c>
      <c r="I79" s="5" t="s">
        <v>315</v>
      </c>
    </row>
    <row r="80" spans="2:9" ht="72">
      <c r="B80" s="15">
        <f>DATE(2026,10,16)</f>
        <v>46311</v>
      </c>
      <c r="C80" s="5" t="s">
        <v>67</v>
      </c>
      <c r="D80" s="7" t="s">
        <v>10</v>
      </c>
      <c r="E80" s="5" t="s">
        <v>316</v>
      </c>
      <c r="F80" s="5" t="s">
        <v>317</v>
      </c>
      <c r="G80" s="5" t="s">
        <v>318</v>
      </c>
      <c r="H80" s="5" t="s">
        <v>319</v>
      </c>
      <c r="I80" s="5" t="s">
        <v>320</v>
      </c>
    </row>
    <row r="81" spans="2:9" ht="115.2">
      <c r="B81" s="15">
        <f>DATE(2026,10,16)</f>
        <v>46311</v>
      </c>
      <c r="C81" s="5" t="s">
        <v>67</v>
      </c>
      <c r="D81" s="7" t="s">
        <v>10</v>
      </c>
      <c r="E81" s="5" t="s">
        <v>321</v>
      </c>
      <c r="F81" s="5" t="s">
        <v>322</v>
      </c>
      <c r="G81" s="5" t="s">
        <v>323</v>
      </c>
      <c r="H81" s="5" t="s">
        <v>324</v>
      </c>
      <c r="I81" s="5" t="s">
        <v>325</v>
      </c>
    </row>
    <row r="82" spans="2:9" ht="72">
      <c r="B82" s="15">
        <f>DATE(2026,10,16)</f>
        <v>46311</v>
      </c>
      <c r="C82" s="5" t="s">
        <v>326</v>
      </c>
      <c r="D82" s="7" t="s">
        <v>10</v>
      </c>
      <c r="E82" s="5" t="s">
        <v>376</v>
      </c>
      <c r="F82" s="5" t="s">
        <v>377</v>
      </c>
      <c r="G82" s="5" t="s">
        <v>378</v>
      </c>
      <c r="H82" s="5" t="s">
        <v>379</v>
      </c>
      <c r="I82" s="5" t="s">
        <v>380</v>
      </c>
    </row>
    <row r="83" spans="2:9" ht="115.2">
      <c r="B83" s="15">
        <f t="shared" ref="B83:B96" si="3">DATE(2026,10,17)</f>
        <v>46312</v>
      </c>
      <c r="C83" s="5" t="s">
        <v>326</v>
      </c>
      <c r="D83" s="7" t="s">
        <v>10</v>
      </c>
      <c r="E83" s="5" t="s">
        <v>381</v>
      </c>
      <c r="F83" s="5" t="s">
        <v>454</v>
      </c>
      <c r="G83" s="5" t="s">
        <v>455</v>
      </c>
      <c r="H83" s="5" t="s">
        <v>382</v>
      </c>
      <c r="I83" s="5" t="s">
        <v>459</v>
      </c>
    </row>
    <row r="84" spans="2:9" ht="86.4">
      <c r="B84" s="15">
        <f t="shared" si="3"/>
        <v>46312</v>
      </c>
      <c r="C84" s="5" t="s">
        <v>326</v>
      </c>
      <c r="D84" s="7" t="s">
        <v>10</v>
      </c>
      <c r="E84" s="5" t="s">
        <v>453</v>
      </c>
      <c r="F84" s="5" t="s">
        <v>383</v>
      </c>
      <c r="G84" s="5" t="s">
        <v>456</v>
      </c>
      <c r="H84" s="5" t="s">
        <v>384</v>
      </c>
      <c r="I84" s="5" t="s">
        <v>460</v>
      </c>
    </row>
    <row r="85" spans="2:9" ht="100.8">
      <c r="B85" s="15">
        <f t="shared" si="3"/>
        <v>46312</v>
      </c>
      <c r="C85" s="5" t="s">
        <v>326</v>
      </c>
      <c r="D85" s="7" t="s">
        <v>10</v>
      </c>
      <c r="E85" s="5" t="s">
        <v>385</v>
      </c>
      <c r="F85" s="5" t="s">
        <v>386</v>
      </c>
      <c r="G85" s="5" t="s">
        <v>457</v>
      </c>
      <c r="H85" s="5" t="s">
        <v>458</v>
      </c>
      <c r="I85" s="5" t="s">
        <v>387</v>
      </c>
    </row>
    <row r="86" spans="2:9" ht="86.4">
      <c r="B86" s="15">
        <f t="shared" si="3"/>
        <v>46312</v>
      </c>
      <c r="C86" s="5" t="s">
        <v>326</v>
      </c>
      <c r="D86" s="7" t="s">
        <v>10</v>
      </c>
      <c r="E86" s="5" t="s">
        <v>388</v>
      </c>
      <c r="F86" s="5" t="s">
        <v>389</v>
      </c>
      <c r="G86" s="5" t="s">
        <v>390</v>
      </c>
      <c r="H86" s="5" t="s">
        <v>391</v>
      </c>
      <c r="I86" s="5" t="s">
        <v>392</v>
      </c>
    </row>
    <row r="87" spans="2:9" ht="86.4">
      <c r="B87" s="15">
        <f t="shared" si="3"/>
        <v>46312</v>
      </c>
      <c r="C87" s="5" t="s">
        <v>326</v>
      </c>
      <c r="D87" s="7" t="s">
        <v>10</v>
      </c>
      <c r="E87" s="5" t="s">
        <v>393</v>
      </c>
      <c r="F87" s="5" t="s">
        <v>394</v>
      </c>
      <c r="G87" s="5" t="s">
        <v>395</v>
      </c>
      <c r="H87" s="5" t="s">
        <v>441</v>
      </c>
      <c r="I87" s="5" t="s">
        <v>442</v>
      </c>
    </row>
    <row r="88" spans="2:9" ht="72">
      <c r="B88" s="15">
        <f t="shared" si="3"/>
        <v>46312</v>
      </c>
      <c r="C88" s="5" t="s">
        <v>9</v>
      </c>
      <c r="D88" s="7" t="s">
        <v>10</v>
      </c>
      <c r="E88" s="5" t="s">
        <v>396</v>
      </c>
      <c r="F88" s="5" t="s">
        <v>397</v>
      </c>
      <c r="G88" s="5" t="s">
        <v>398</v>
      </c>
      <c r="H88" s="5" t="s">
        <v>399</v>
      </c>
      <c r="I88" s="5" t="s">
        <v>400</v>
      </c>
    </row>
    <row r="89" spans="2:9" ht="86.4">
      <c r="B89" s="15">
        <f t="shared" si="3"/>
        <v>46312</v>
      </c>
      <c r="C89" s="5" t="s">
        <v>9</v>
      </c>
      <c r="D89" s="7" t="s">
        <v>10</v>
      </c>
      <c r="E89" s="5" t="s">
        <v>401</v>
      </c>
      <c r="F89" s="5" t="s">
        <v>402</v>
      </c>
      <c r="G89" s="5" t="s">
        <v>403</v>
      </c>
      <c r="H89" s="5" t="s">
        <v>404</v>
      </c>
      <c r="I89" s="5" t="s">
        <v>405</v>
      </c>
    </row>
    <row r="90" spans="2:9" ht="115.2">
      <c r="B90" s="15">
        <f t="shared" si="3"/>
        <v>46312</v>
      </c>
      <c r="C90" s="5" t="s">
        <v>9</v>
      </c>
      <c r="D90" s="7" t="s">
        <v>10</v>
      </c>
      <c r="E90" s="5" t="s">
        <v>406</v>
      </c>
      <c r="F90" s="5" t="s">
        <v>407</v>
      </c>
      <c r="G90" s="5" t="s">
        <v>408</v>
      </c>
      <c r="H90" s="5" t="s">
        <v>409</v>
      </c>
      <c r="I90" s="5" t="s">
        <v>410</v>
      </c>
    </row>
    <row r="91" spans="2:9" ht="115.2">
      <c r="B91" s="15">
        <f t="shared" si="3"/>
        <v>46312</v>
      </c>
      <c r="C91" s="5" t="s">
        <v>9</v>
      </c>
      <c r="D91" s="7" t="s">
        <v>10</v>
      </c>
      <c r="E91" s="5" t="s">
        <v>411</v>
      </c>
      <c r="F91" s="5" t="s">
        <v>412</v>
      </c>
      <c r="G91" s="5" t="s">
        <v>413</v>
      </c>
      <c r="H91" s="5" t="s">
        <v>414</v>
      </c>
      <c r="I91" s="5" t="s">
        <v>415</v>
      </c>
    </row>
    <row r="92" spans="2:9" ht="100.8">
      <c r="B92" s="15">
        <f t="shared" si="3"/>
        <v>46312</v>
      </c>
      <c r="C92" s="5" t="s">
        <v>9</v>
      </c>
      <c r="D92" s="7" t="s">
        <v>10</v>
      </c>
      <c r="E92" s="5" t="s">
        <v>416</v>
      </c>
      <c r="F92" s="5" t="s">
        <v>417</v>
      </c>
      <c r="G92" s="5" t="s">
        <v>418</v>
      </c>
      <c r="H92" s="5" t="s">
        <v>419</v>
      </c>
      <c r="I92" s="5" t="s">
        <v>420</v>
      </c>
    </row>
    <row r="93" spans="2:9" ht="86.4">
      <c r="B93" s="15">
        <f t="shared" si="3"/>
        <v>46312</v>
      </c>
      <c r="C93" s="5" t="s">
        <v>9</v>
      </c>
      <c r="D93" s="7" t="s">
        <v>10</v>
      </c>
      <c r="E93" s="5" t="s">
        <v>421</v>
      </c>
      <c r="F93" s="5" t="s">
        <v>422</v>
      </c>
      <c r="G93" s="5" t="s">
        <v>423</v>
      </c>
      <c r="H93" s="5" t="s">
        <v>424</v>
      </c>
      <c r="I93" s="5" t="s">
        <v>425</v>
      </c>
    </row>
    <row r="94" spans="2:9" ht="43.2">
      <c r="B94" s="15">
        <f t="shared" si="3"/>
        <v>46312</v>
      </c>
      <c r="C94" s="5" t="s">
        <v>9</v>
      </c>
      <c r="D94" s="7" t="s">
        <v>10</v>
      </c>
      <c r="E94" s="5" t="s">
        <v>426</v>
      </c>
      <c r="F94" s="5" t="s">
        <v>427</v>
      </c>
      <c r="G94" s="5" t="s">
        <v>428</v>
      </c>
      <c r="H94" s="5" t="s">
        <v>429</v>
      </c>
      <c r="I94" s="5" t="s">
        <v>430</v>
      </c>
    </row>
    <row r="95" spans="2:9" ht="72">
      <c r="B95" s="15">
        <f t="shared" si="3"/>
        <v>46312</v>
      </c>
      <c r="C95" s="5" t="s">
        <v>9</v>
      </c>
      <c r="D95" s="7" t="s">
        <v>10</v>
      </c>
      <c r="E95" s="5" t="s">
        <v>431</v>
      </c>
      <c r="F95" s="5" t="s">
        <v>432</v>
      </c>
      <c r="G95" s="5" t="s">
        <v>433</v>
      </c>
      <c r="H95" s="5" t="s">
        <v>434</v>
      </c>
      <c r="I95" s="5" t="s">
        <v>435</v>
      </c>
    </row>
    <row r="96" spans="2:9" ht="144">
      <c r="B96" s="15">
        <f t="shared" si="3"/>
        <v>46312</v>
      </c>
      <c r="C96" s="5" t="s">
        <v>9</v>
      </c>
      <c r="D96" s="7" t="s">
        <v>10</v>
      </c>
      <c r="E96" s="5" t="s">
        <v>436</v>
      </c>
      <c r="F96" s="5" t="s">
        <v>437</v>
      </c>
      <c r="G96" s="5" t="s">
        <v>438</v>
      </c>
      <c r="H96" s="5" t="s">
        <v>439</v>
      </c>
      <c r="I96" s="5" t="s">
        <v>440</v>
      </c>
    </row>
    <row r="97" spans="2:9" ht="115.2">
      <c r="B97" s="15">
        <f>DATE(2026,10,17)</f>
        <v>46312</v>
      </c>
      <c r="C97" s="5" t="s">
        <v>67</v>
      </c>
      <c r="D97" s="7" t="s">
        <v>10</v>
      </c>
      <c r="E97" s="5" t="s">
        <v>443</v>
      </c>
      <c r="F97" s="5" t="s">
        <v>444</v>
      </c>
      <c r="G97" s="5" t="s">
        <v>445</v>
      </c>
      <c r="H97" s="5" t="s">
        <v>446</v>
      </c>
      <c r="I97" s="5" t="s">
        <v>447</v>
      </c>
    </row>
    <row r="98" spans="2:9" ht="115.2">
      <c r="B98" s="15">
        <f>DATE(2026,10,17)</f>
        <v>46312</v>
      </c>
      <c r="C98" s="5" t="s">
        <v>67</v>
      </c>
      <c r="D98" s="7" t="s">
        <v>10</v>
      </c>
      <c r="E98" s="5" t="s">
        <v>452</v>
      </c>
      <c r="F98" s="5" t="s">
        <v>448</v>
      </c>
      <c r="G98" s="5" t="s">
        <v>449</v>
      </c>
      <c r="H98" s="5" t="s">
        <v>450</v>
      </c>
      <c r="I98" s="5" t="s">
        <v>451</v>
      </c>
    </row>
    <row r="99" spans="2:9" ht="129.6">
      <c r="B99" s="15">
        <f>DATE(2026,10,18)</f>
        <v>46313</v>
      </c>
      <c r="C99" s="5" t="s">
        <v>9</v>
      </c>
      <c r="D99" s="7" t="s">
        <v>10</v>
      </c>
      <c r="E99" s="5" t="s">
        <v>461</v>
      </c>
      <c r="F99" s="5" t="s">
        <v>462</v>
      </c>
      <c r="G99" s="5" t="s">
        <v>463</v>
      </c>
      <c r="H99" s="5" t="s">
        <v>464</v>
      </c>
      <c r="I99" s="5" t="s">
        <v>465</v>
      </c>
    </row>
    <row r="100" spans="2:9" ht="100.8">
      <c r="B100" s="15">
        <f>DATE(2026,10,18)</f>
        <v>46313</v>
      </c>
      <c r="C100" s="5" t="s">
        <v>9</v>
      </c>
      <c r="D100" s="7" t="s">
        <v>10</v>
      </c>
      <c r="E100" s="5" t="s">
        <v>466</v>
      </c>
      <c r="F100" s="5" t="s">
        <v>467</v>
      </c>
      <c r="G100" s="5" t="s">
        <v>468</v>
      </c>
      <c r="H100" s="5" t="s">
        <v>469</v>
      </c>
      <c r="I100" s="5" t="s">
        <v>470</v>
      </c>
    </row>
    <row r="101" spans="2:9" ht="72">
      <c r="B101" s="15">
        <f>DATE(2026,10,18)</f>
        <v>46313</v>
      </c>
      <c r="C101" s="5" t="s">
        <v>9</v>
      </c>
      <c r="D101" s="7" t="s">
        <v>10</v>
      </c>
      <c r="E101" s="5" t="s">
        <v>471</v>
      </c>
      <c r="F101" s="5" t="s">
        <v>472</v>
      </c>
      <c r="G101" s="5" t="s">
        <v>473</v>
      </c>
      <c r="H101" s="5" t="s">
        <v>474</v>
      </c>
      <c r="I101" s="5" t="s">
        <v>475</v>
      </c>
    </row>
    <row r="102" spans="2:9" ht="86.4">
      <c r="B102" s="15">
        <f>DATE(2026,10,18)</f>
        <v>46313</v>
      </c>
      <c r="C102" s="5" t="s">
        <v>9</v>
      </c>
      <c r="D102" s="7" t="s">
        <v>10</v>
      </c>
      <c r="E102" s="5" t="s">
        <v>476</v>
      </c>
      <c r="F102" s="5" t="s">
        <v>477</v>
      </c>
      <c r="G102" s="5" t="s">
        <v>478</v>
      </c>
      <c r="H102" s="5" t="s">
        <v>479</v>
      </c>
      <c r="I102" s="5" t="s">
        <v>480</v>
      </c>
    </row>
    <row r="103" spans="2:9" ht="57.6">
      <c r="B103" s="15">
        <f>DATE(2026,10,18)</f>
        <v>46313</v>
      </c>
      <c r="C103" s="5" t="s">
        <v>9</v>
      </c>
      <c r="D103" s="7" t="s">
        <v>10</v>
      </c>
      <c r="E103" s="5" t="s">
        <v>481</v>
      </c>
      <c r="F103" s="5" t="s">
        <v>482</v>
      </c>
      <c r="G103" s="5" t="s">
        <v>483</v>
      </c>
      <c r="H103" s="5" t="s">
        <v>484</v>
      </c>
      <c r="I103" s="5" t="s">
        <v>485</v>
      </c>
    </row>
    <row r="104" spans="2:9" ht="57.6">
      <c r="B104" s="15">
        <f>DATE(2026,10,18)</f>
        <v>46313</v>
      </c>
      <c r="C104" s="5" t="s">
        <v>9</v>
      </c>
      <c r="D104" s="7" t="s">
        <v>10</v>
      </c>
      <c r="E104" s="5" t="s">
        <v>486</v>
      </c>
      <c r="F104" s="5" t="s">
        <v>487</v>
      </c>
      <c r="G104" s="5" t="s">
        <v>488</v>
      </c>
      <c r="H104" s="5" t="s">
        <v>489</v>
      </c>
      <c r="I104" s="5" t="s">
        <v>490</v>
      </c>
    </row>
    <row r="105" spans="2:9" ht="115.2">
      <c r="B105" s="15">
        <f>DATE(2026,10,18)</f>
        <v>46313</v>
      </c>
      <c r="C105" s="5" t="s">
        <v>326</v>
      </c>
      <c r="D105" s="7" t="s">
        <v>10</v>
      </c>
      <c r="E105" s="5" t="s">
        <v>491</v>
      </c>
      <c r="F105" s="5" t="s">
        <v>492</v>
      </c>
      <c r="G105" s="5" t="s">
        <v>493</v>
      </c>
      <c r="H105" s="5" t="s">
        <v>494</v>
      </c>
      <c r="I105" s="5" t="s">
        <v>495</v>
      </c>
    </row>
    <row r="106" spans="2:9" ht="144">
      <c r="B106" s="15">
        <f>DATE(2026,10,18)</f>
        <v>46313</v>
      </c>
      <c r="C106" s="5" t="s">
        <v>326</v>
      </c>
      <c r="D106" s="7" t="s">
        <v>10</v>
      </c>
      <c r="E106" s="5" t="s">
        <v>496</v>
      </c>
      <c r="F106" s="5" t="s">
        <v>497</v>
      </c>
      <c r="G106" s="5" t="s">
        <v>498</v>
      </c>
      <c r="H106" s="5" t="s">
        <v>499</v>
      </c>
      <c r="I106" s="5" t="s">
        <v>500</v>
      </c>
    </row>
    <row r="107" spans="2:9" ht="115.2">
      <c r="B107" s="15">
        <f>DATE(2026,10,18)</f>
        <v>46313</v>
      </c>
      <c r="C107" s="5" t="s">
        <v>326</v>
      </c>
      <c r="D107" s="7" t="s">
        <v>10</v>
      </c>
      <c r="E107" s="5" t="s">
        <v>501</v>
      </c>
      <c r="F107" s="5" t="s">
        <v>502</v>
      </c>
      <c r="G107" s="5" t="s">
        <v>503</v>
      </c>
      <c r="H107" s="5" t="s">
        <v>504</v>
      </c>
      <c r="I107" s="5" t="s">
        <v>505</v>
      </c>
    </row>
    <row r="108" spans="2:9" ht="57.6">
      <c r="B108" s="15">
        <f>DATE(2026,10,18)</f>
        <v>46313</v>
      </c>
      <c r="C108" s="5" t="s">
        <v>326</v>
      </c>
      <c r="D108" s="7" t="s">
        <v>10</v>
      </c>
      <c r="E108" s="5" t="s">
        <v>506</v>
      </c>
      <c r="F108" s="5" t="s">
        <v>507</v>
      </c>
      <c r="G108" s="5" t="s">
        <v>508</v>
      </c>
      <c r="H108" s="5" t="s">
        <v>509</v>
      </c>
      <c r="I108" s="5" t="s">
        <v>510</v>
      </c>
    </row>
    <row r="109" spans="2:9">
      <c r="B109" s="15"/>
      <c r="C109" s="5"/>
      <c r="D109" s="7"/>
      <c r="E109" s="5"/>
      <c r="F109" s="5"/>
      <c r="G109" s="5"/>
      <c r="H109" s="5"/>
      <c r="I109" s="5"/>
    </row>
    <row r="110" spans="2:9">
      <c r="B110" s="8"/>
      <c r="C110" s="5"/>
      <c r="D110" s="7"/>
      <c r="E110" s="5"/>
      <c r="F110" s="5"/>
      <c r="G110" s="5"/>
      <c r="H110" s="5"/>
      <c r="I110" s="5"/>
    </row>
    <row r="111" spans="2:9">
      <c r="B111" s="8"/>
      <c r="C111" s="5"/>
      <c r="D111" s="7"/>
      <c r="E111" s="5"/>
      <c r="F111" s="5"/>
      <c r="G111" s="5"/>
      <c r="H111" s="5"/>
      <c r="I111" s="5"/>
    </row>
    <row r="112" spans="2:9">
      <c r="B112" s="8"/>
      <c r="C112" s="5"/>
      <c r="D112" s="7"/>
      <c r="E112" s="5"/>
      <c r="F112" s="5"/>
      <c r="G112" s="5"/>
      <c r="H112" s="5"/>
      <c r="I112" s="5"/>
    </row>
    <row r="113" spans="2:9">
      <c r="B113" s="8"/>
      <c r="C113" s="5"/>
      <c r="D113" s="7"/>
      <c r="E113" s="5"/>
      <c r="F113" s="5"/>
      <c r="G113" s="5"/>
      <c r="H113" s="5"/>
      <c r="I113" s="5"/>
    </row>
    <row r="114" spans="2:9">
      <c r="B114" s="8"/>
      <c r="C114" s="5"/>
      <c r="D114" s="7"/>
      <c r="E114" s="5"/>
      <c r="F114" s="5"/>
      <c r="G114" s="5"/>
      <c r="H114" s="5"/>
      <c r="I114" s="5"/>
    </row>
    <row r="115" spans="2:9">
      <c r="B115" s="8"/>
      <c r="C115" s="5"/>
      <c r="D115" s="7"/>
      <c r="E115" s="5"/>
      <c r="F115" s="5"/>
      <c r="G115" s="5"/>
      <c r="H115" s="5"/>
      <c r="I115" s="5"/>
    </row>
    <row r="116" spans="2:9">
      <c r="B116" s="8"/>
      <c r="C116" s="5"/>
      <c r="D116" s="7"/>
      <c r="E116" s="5"/>
      <c r="F116" s="5"/>
      <c r="G116" s="5"/>
      <c r="H116" s="5"/>
      <c r="I116" s="5"/>
    </row>
    <row r="117" spans="2:9">
      <c r="B117" s="8"/>
      <c r="C117" s="5"/>
      <c r="D117" s="7"/>
      <c r="E117" s="5"/>
      <c r="F117" s="5"/>
      <c r="G117" s="5"/>
      <c r="H117" s="5"/>
      <c r="I117" s="5"/>
    </row>
    <row r="118" spans="2:9">
      <c r="B118" s="8"/>
      <c r="C118" s="5"/>
      <c r="D118" s="7"/>
      <c r="E118" s="5"/>
      <c r="F118" s="5"/>
      <c r="G118" s="5"/>
      <c r="H118" s="5"/>
      <c r="I118" s="5"/>
    </row>
    <row r="119" spans="2:9">
      <c r="B119" s="8"/>
      <c r="C119" s="5"/>
      <c r="D119" s="7"/>
      <c r="E119" s="5"/>
      <c r="F119" s="5"/>
      <c r="G119" s="5"/>
      <c r="H119" s="5"/>
      <c r="I119" s="5"/>
    </row>
    <row r="120" spans="2:9">
      <c r="B120" s="8"/>
      <c r="C120" s="5"/>
      <c r="D120" s="7"/>
      <c r="E120" s="5"/>
      <c r="F120" s="5"/>
      <c r="G120" s="5"/>
      <c r="H120" s="5"/>
      <c r="I120" s="5"/>
    </row>
    <row r="121" spans="2:9">
      <c r="B121" s="8"/>
      <c r="C121" s="5"/>
      <c r="D121" s="7"/>
      <c r="E121" s="5"/>
      <c r="F121" s="5"/>
      <c r="G121" s="5"/>
      <c r="H121" s="5"/>
      <c r="I121" s="5"/>
    </row>
    <row r="122" spans="2:9">
      <c r="B122" s="8"/>
      <c r="C122" s="5"/>
      <c r="D122" s="7"/>
      <c r="E122" s="5"/>
      <c r="F122" s="5"/>
      <c r="G122" s="5"/>
      <c r="H122" s="5"/>
      <c r="I122" s="5"/>
    </row>
    <row r="123" spans="2:9">
      <c r="B123" s="8"/>
      <c r="C123" s="5"/>
      <c r="D123" s="7"/>
      <c r="E123" s="5"/>
      <c r="F123" s="5"/>
      <c r="G123" s="5"/>
      <c r="H123" s="5"/>
      <c r="I123" s="5"/>
    </row>
    <row r="124" spans="2:9">
      <c r="B124" s="8"/>
      <c r="C124" s="5"/>
      <c r="D124" s="7"/>
      <c r="E124" s="5"/>
      <c r="F124" s="5"/>
      <c r="G124" s="5"/>
      <c r="H124" s="5"/>
      <c r="I124" s="5"/>
    </row>
    <row r="125" spans="2:9">
      <c r="B125" s="8"/>
      <c r="C125" s="5"/>
      <c r="D125" s="7"/>
      <c r="E125" s="5"/>
      <c r="F125" s="5"/>
      <c r="G125" s="5"/>
      <c r="H125" s="5"/>
      <c r="I125" s="5"/>
    </row>
    <row r="126" spans="2:9">
      <c r="B126" s="8"/>
      <c r="C126" s="5"/>
      <c r="D126" s="7"/>
      <c r="E126" s="5"/>
      <c r="F126" s="5"/>
      <c r="G126" s="5"/>
      <c r="H126" s="5"/>
      <c r="I126" s="5"/>
    </row>
    <row r="127" spans="2:9">
      <c r="B127" s="8"/>
      <c r="C127" s="5"/>
      <c r="D127" s="7"/>
      <c r="E127" s="5"/>
      <c r="F127" s="5"/>
      <c r="G127" s="5"/>
      <c r="H127" s="5"/>
      <c r="I127" s="5"/>
    </row>
    <row r="128" spans="2:9">
      <c r="B128" s="8"/>
      <c r="C128" s="5"/>
      <c r="D128" s="7"/>
      <c r="E128" s="5"/>
      <c r="F128" s="5"/>
      <c r="G128" s="5"/>
      <c r="H128" s="5"/>
      <c r="I128" s="5"/>
    </row>
    <row r="129" spans="2:9">
      <c r="B129" s="8"/>
      <c r="C129" s="5"/>
      <c r="D129" s="7"/>
      <c r="E129" s="5"/>
      <c r="F129" s="5"/>
      <c r="G129" s="5"/>
      <c r="H129" s="5"/>
      <c r="I129" s="5"/>
    </row>
    <row r="130" spans="2:9">
      <c r="B130" s="8"/>
      <c r="C130" s="5"/>
      <c r="D130" s="7"/>
      <c r="E130" s="5"/>
      <c r="F130" s="5"/>
      <c r="G130" s="5"/>
      <c r="H130" s="5"/>
      <c r="I130" s="5"/>
    </row>
    <row r="131" spans="2:9">
      <c r="B131" s="8"/>
      <c r="C131" s="5"/>
      <c r="D131" s="7"/>
      <c r="E131" s="5"/>
      <c r="F131" s="5"/>
      <c r="G131" s="5"/>
      <c r="H131" s="5"/>
      <c r="I131" s="5"/>
    </row>
    <row r="132" spans="2:9">
      <c r="B132" s="8"/>
      <c r="C132" s="5"/>
      <c r="D132" s="7"/>
      <c r="E132" s="5"/>
      <c r="F132" s="5"/>
      <c r="G132" s="5"/>
      <c r="H132" s="5"/>
      <c r="I132" s="5"/>
    </row>
    <row r="133" spans="2:9">
      <c r="B133" s="8"/>
      <c r="C133" s="5"/>
      <c r="D133" s="7"/>
      <c r="E133" s="5"/>
      <c r="F133" s="5"/>
      <c r="G133" s="5"/>
      <c r="H133" s="5"/>
      <c r="I133" s="5"/>
    </row>
    <row r="134" spans="2:9">
      <c r="B134" s="8"/>
      <c r="C134" s="5"/>
      <c r="D134" s="7"/>
      <c r="E134" s="5"/>
      <c r="F134" s="5"/>
      <c r="G134" s="5"/>
      <c r="H134" s="5"/>
      <c r="I134" s="5"/>
    </row>
    <row r="135" spans="2:9">
      <c r="B135" s="8"/>
      <c r="C135" s="5"/>
      <c r="D135" s="7"/>
      <c r="E135" s="5"/>
      <c r="F135" s="5"/>
      <c r="G135" s="5"/>
      <c r="H135" s="5"/>
      <c r="I135" s="5"/>
    </row>
    <row r="136" spans="2:9">
      <c r="B136" s="8"/>
      <c r="C136" s="5"/>
      <c r="D136" s="7"/>
      <c r="E136" s="5"/>
      <c r="F136" s="5"/>
      <c r="G136" s="5"/>
      <c r="H136" s="5"/>
      <c r="I136" s="5"/>
    </row>
    <row r="137" spans="2:9">
      <c r="B137" s="8"/>
      <c r="C137" s="5"/>
      <c r="D137" s="7"/>
      <c r="E137" s="5"/>
      <c r="F137" s="5"/>
      <c r="G137" s="5"/>
      <c r="H137" s="5"/>
      <c r="I137" s="5"/>
    </row>
    <row r="138" spans="2:9">
      <c r="B138" s="8"/>
      <c r="C138" s="5"/>
      <c r="D138" s="7"/>
      <c r="E138" s="5"/>
      <c r="F138" s="5"/>
      <c r="G138" s="5"/>
      <c r="H138" s="5"/>
      <c r="I138" s="5"/>
    </row>
    <row r="139" spans="2:9">
      <c r="B139" s="8"/>
      <c r="C139" s="5"/>
      <c r="D139" s="7"/>
      <c r="E139" s="5"/>
      <c r="F139" s="5"/>
      <c r="G139" s="5"/>
      <c r="H139" s="5"/>
      <c r="I139" s="5"/>
    </row>
    <row r="140" spans="2:9">
      <c r="B140" s="8"/>
      <c r="C140" s="5"/>
      <c r="D140" s="7"/>
      <c r="E140" s="5"/>
      <c r="F140" s="5"/>
      <c r="G140" s="5"/>
      <c r="H140" s="5"/>
      <c r="I140" s="5"/>
    </row>
    <row r="141" spans="2:9">
      <c r="B141" s="8"/>
      <c r="C141" s="5"/>
      <c r="D141" s="7"/>
      <c r="E141" s="5"/>
      <c r="F141" s="5"/>
      <c r="G141" s="5"/>
      <c r="H141" s="5"/>
      <c r="I141" s="5"/>
    </row>
    <row r="142" spans="2:9">
      <c r="B142" s="8"/>
      <c r="C142" s="5"/>
      <c r="D142" s="7"/>
      <c r="E142" s="5"/>
      <c r="F142" s="5"/>
      <c r="G142" s="5"/>
      <c r="H142" s="5"/>
      <c r="I142" s="5"/>
    </row>
    <row r="143" spans="2:9">
      <c r="B143" s="8"/>
      <c r="C143" s="5"/>
      <c r="D143" s="7"/>
      <c r="E143" s="5"/>
      <c r="F143" s="5"/>
      <c r="G143" s="5"/>
      <c r="H143" s="5"/>
      <c r="I143" s="5"/>
    </row>
    <row r="144" spans="2:9">
      <c r="B144" s="8"/>
      <c r="C144" s="5"/>
      <c r="D144" s="7"/>
      <c r="E144" s="5"/>
      <c r="F144" s="5"/>
      <c r="G144" s="5"/>
      <c r="H144" s="5"/>
      <c r="I144" s="5"/>
    </row>
    <row r="145" spans="2:9">
      <c r="B145" s="8"/>
      <c r="C145" s="5"/>
      <c r="D145" s="7"/>
      <c r="E145" s="5"/>
      <c r="F145" s="5"/>
      <c r="G145" s="5"/>
      <c r="H145" s="5"/>
      <c r="I145" s="5"/>
    </row>
    <row r="146" spans="2:9">
      <c r="B146" s="8"/>
      <c r="C146" s="5"/>
      <c r="D146" s="7"/>
      <c r="E146" s="5"/>
      <c r="F146" s="5"/>
      <c r="G146" s="5"/>
      <c r="H146" s="5"/>
      <c r="I146" s="5"/>
    </row>
    <row r="147" spans="2:9">
      <c r="B147" s="8"/>
      <c r="C147" s="5"/>
      <c r="D147" s="7"/>
      <c r="E147" s="5"/>
      <c r="F147" s="5"/>
      <c r="G147" s="5"/>
      <c r="H147" s="5"/>
      <c r="I147" s="5"/>
    </row>
    <row r="148" spans="2:9">
      <c r="B148" s="8"/>
      <c r="C148" s="5"/>
      <c r="D148" s="7"/>
      <c r="E148" s="5"/>
      <c r="F148" s="5"/>
      <c r="G148" s="5"/>
      <c r="H148" s="5"/>
      <c r="I148" s="5"/>
    </row>
    <row r="149" spans="2:9">
      <c r="B149" s="8"/>
      <c r="C149" s="5"/>
      <c r="D149" s="7"/>
      <c r="E149" s="5"/>
      <c r="F149" s="5"/>
      <c r="G149" s="5"/>
      <c r="H149" s="5"/>
      <c r="I149" s="5"/>
    </row>
    <row r="150" spans="2:9">
      <c r="B150" s="8"/>
      <c r="C150" s="5"/>
      <c r="D150" s="7"/>
      <c r="E150" s="5"/>
      <c r="F150" s="5"/>
      <c r="G150" s="5"/>
      <c r="H150" s="5"/>
      <c r="I150" s="5"/>
    </row>
    <row r="151" spans="2:9">
      <c r="B151" s="8"/>
      <c r="C151" s="5"/>
      <c r="D151" s="7"/>
      <c r="E151" s="5"/>
      <c r="F151" s="5"/>
      <c r="G151" s="5"/>
      <c r="H151" s="5"/>
      <c r="I151" s="5"/>
    </row>
    <row r="152" spans="2:9">
      <c r="B152" s="8"/>
      <c r="C152" s="5"/>
      <c r="D152" s="7"/>
      <c r="E152" s="5"/>
      <c r="F152" s="5"/>
      <c r="G152" s="5"/>
      <c r="H152" s="5"/>
      <c r="I152" s="5"/>
    </row>
    <row r="153" spans="2:9">
      <c r="B153" s="8"/>
      <c r="C153" s="5"/>
      <c r="D153" s="7"/>
      <c r="E153" s="5"/>
      <c r="F153" s="5"/>
      <c r="G153" s="5"/>
      <c r="H153" s="5"/>
      <c r="I153" s="5"/>
    </row>
    <row r="154" spans="2:9">
      <c r="B154" s="8"/>
      <c r="C154" s="5"/>
      <c r="D154" s="7"/>
      <c r="E154" s="5"/>
      <c r="F154" s="5"/>
      <c r="G154" s="5"/>
      <c r="H154" s="5"/>
      <c r="I154" s="5"/>
    </row>
    <row r="155" spans="2:9">
      <c r="B155" s="8"/>
      <c r="C155" s="5"/>
      <c r="D155" s="7"/>
      <c r="E155" s="5"/>
      <c r="F155" s="5"/>
      <c r="G155" s="5"/>
      <c r="H155" s="5"/>
      <c r="I155" s="5"/>
    </row>
    <row r="156" spans="2:9">
      <c r="B156" s="8"/>
      <c r="C156" s="5"/>
      <c r="D156" s="7"/>
      <c r="E156" s="5"/>
      <c r="F156" s="5"/>
      <c r="G156" s="5"/>
      <c r="H156" s="5"/>
      <c r="I156" s="5"/>
    </row>
    <row r="157" spans="2:9">
      <c r="B157" s="8"/>
      <c r="C157" s="5"/>
      <c r="D157" s="7"/>
      <c r="E157" s="5"/>
      <c r="F157" s="5"/>
      <c r="G157" s="5"/>
      <c r="H157" s="5"/>
      <c r="I157" s="5"/>
    </row>
    <row r="158" spans="2:9">
      <c r="B158" s="8"/>
      <c r="C158" s="5"/>
      <c r="D158" s="7"/>
      <c r="E158" s="5"/>
      <c r="F158" s="5"/>
      <c r="G158" s="5"/>
      <c r="H158" s="5"/>
      <c r="I158" s="5"/>
    </row>
    <row r="159" spans="2:9">
      <c r="B159" s="8"/>
      <c r="C159" s="5"/>
      <c r="D159" s="7"/>
      <c r="E159" s="5"/>
      <c r="F159" s="5"/>
      <c r="G159" s="5"/>
      <c r="H159" s="5"/>
      <c r="I159" s="5"/>
    </row>
    <row r="160" spans="2:9">
      <c r="B160" s="8"/>
      <c r="C160" s="5"/>
      <c r="D160" s="7"/>
      <c r="E160" s="5"/>
      <c r="F160" s="5"/>
      <c r="G160" s="5"/>
      <c r="H160" s="5"/>
      <c r="I160" s="5"/>
    </row>
    <row r="161" spans="2:9">
      <c r="B161" s="8"/>
      <c r="C161" s="5"/>
      <c r="D161" s="7"/>
      <c r="E161" s="5"/>
      <c r="F161" s="5"/>
      <c r="G161" s="5"/>
      <c r="H161" s="5"/>
      <c r="I161" s="5"/>
    </row>
    <row r="162" spans="2:9">
      <c r="B162" s="8"/>
      <c r="C162" s="5"/>
      <c r="D162" s="7"/>
      <c r="E162" s="5"/>
      <c r="F162" s="5"/>
      <c r="G162" s="5"/>
      <c r="H162" s="5"/>
      <c r="I162" s="5"/>
    </row>
    <row r="163" spans="2:9">
      <c r="B163" s="8"/>
      <c r="C163" s="5"/>
      <c r="D163" s="7"/>
      <c r="E163" s="5"/>
      <c r="F163" s="5"/>
      <c r="G163" s="5"/>
      <c r="H163" s="5"/>
      <c r="I163" s="5"/>
    </row>
    <row r="164" spans="2:9">
      <c r="B164" s="8"/>
      <c r="C164" s="5"/>
      <c r="D164" s="7"/>
      <c r="E164" s="5"/>
      <c r="F164" s="5"/>
      <c r="G164" s="5"/>
      <c r="H164" s="5"/>
      <c r="I164" s="5"/>
    </row>
    <row r="165" spans="2:9">
      <c r="B165" s="8"/>
      <c r="C165" s="5"/>
      <c r="D165" s="7"/>
      <c r="E165" s="5"/>
      <c r="F165" s="5"/>
      <c r="G165" s="5"/>
      <c r="H165" s="5"/>
      <c r="I165" s="5"/>
    </row>
    <row r="166" spans="2:9">
      <c r="B166" s="8"/>
      <c r="C166" s="5"/>
      <c r="D166" s="7"/>
      <c r="E166" s="5"/>
      <c r="F166" s="5"/>
      <c r="G166" s="5"/>
      <c r="H166" s="5"/>
      <c r="I166" s="5"/>
    </row>
    <row r="167" spans="2:9">
      <c r="B167" s="8"/>
      <c r="C167" s="5"/>
      <c r="D167" s="7"/>
      <c r="E167" s="5"/>
      <c r="F167" s="5"/>
      <c r="G167" s="5"/>
      <c r="H167" s="5"/>
      <c r="I167" s="5"/>
    </row>
    <row r="168" spans="2:9">
      <c r="B168" s="8"/>
      <c r="C168" s="5"/>
      <c r="D168" s="7"/>
      <c r="E168" s="5"/>
      <c r="F168" s="5"/>
      <c r="G168" s="5"/>
      <c r="H168" s="5"/>
      <c r="I168" s="5"/>
    </row>
    <row r="169" spans="2:9">
      <c r="B169" s="8"/>
      <c r="C169" s="5"/>
      <c r="D169" s="7"/>
      <c r="E169" s="5"/>
      <c r="F169" s="5"/>
      <c r="G169" s="5"/>
      <c r="H169" s="5"/>
      <c r="I169" s="5"/>
    </row>
    <row r="170" spans="2:9">
      <c r="B170" s="8"/>
      <c r="C170" s="5"/>
      <c r="D170" s="7"/>
      <c r="E170" s="5"/>
      <c r="F170" s="5"/>
      <c r="G170" s="5"/>
      <c r="H170" s="5"/>
      <c r="I170" s="5"/>
    </row>
    <row r="171" spans="2:9">
      <c r="B171" s="8"/>
      <c r="C171" s="5"/>
      <c r="D171" s="7"/>
      <c r="E171" s="5"/>
      <c r="F171" s="5"/>
      <c r="G171" s="5"/>
      <c r="H171" s="5"/>
      <c r="I171" s="5"/>
    </row>
    <row r="172" spans="2:9">
      <c r="B172" s="8"/>
      <c r="C172" s="5"/>
      <c r="D172" s="7"/>
      <c r="E172" s="5"/>
      <c r="F172" s="5"/>
      <c r="G172" s="5"/>
      <c r="H172" s="5"/>
      <c r="I172" s="5"/>
    </row>
    <row r="173" spans="2:9">
      <c r="B173" s="8"/>
      <c r="C173" s="5"/>
      <c r="D173" s="7"/>
      <c r="E173" s="5"/>
      <c r="F173" s="5"/>
      <c r="G173" s="5"/>
      <c r="H173" s="5"/>
      <c r="I173" s="5"/>
    </row>
    <row r="174" spans="2:9">
      <c r="B174" s="8"/>
      <c r="C174" s="5"/>
      <c r="D174" s="7"/>
      <c r="E174" s="5"/>
      <c r="F174" s="5"/>
      <c r="G174" s="5"/>
      <c r="H174" s="5"/>
      <c r="I174" s="5"/>
    </row>
    <row r="175" spans="2:9">
      <c r="B175" s="8"/>
      <c r="C175" s="5"/>
      <c r="D175" s="7"/>
      <c r="E175" s="5"/>
      <c r="F175" s="5"/>
      <c r="G175" s="5"/>
      <c r="H175" s="5"/>
      <c r="I175" s="5"/>
    </row>
    <row r="176" spans="2:9">
      <c r="B176" s="8"/>
      <c r="C176" s="5"/>
      <c r="D176" s="7"/>
      <c r="E176" s="5"/>
      <c r="F176" s="5"/>
      <c r="G176" s="5"/>
      <c r="H176" s="5"/>
      <c r="I176" s="5"/>
    </row>
    <row r="177" spans="2:9">
      <c r="B177" s="8"/>
      <c r="C177" s="5"/>
      <c r="D177" s="7"/>
      <c r="E177" s="5"/>
      <c r="F177" s="5"/>
      <c r="G177" s="5"/>
      <c r="H177" s="5"/>
      <c r="I177" s="5"/>
    </row>
    <row r="178" spans="2:9">
      <c r="B178" s="8"/>
      <c r="C178" s="5"/>
      <c r="D178" s="7"/>
      <c r="E178" s="5"/>
      <c r="F178" s="5"/>
      <c r="G178" s="5"/>
      <c r="H178" s="5"/>
      <c r="I178" s="5"/>
    </row>
    <row r="179" spans="2:9">
      <c r="B179" s="8"/>
      <c r="C179" s="5"/>
      <c r="D179" s="7"/>
      <c r="E179" s="5"/>
      <c r="F179" s="5"/>
      <c r="G179" s="5"/>
      <c r="H179" s="5"/>
      <c r="I179" s="5"/>
    </row>
    <row r="180" spans="2:9">
      <c r="B180" s="8"/>
      <c r="C180" s="5"/>
      <c r="D180" s="7"/>
      <c r="E180" s="5"/>
      <c r="F180" s="5"/>
      <c r="G180" s="5"/>
      <c r="H180" s="5"/>
      <c r="I180" s="5"/>
    </row>
    <row r="181" spans="2:9">
      <c r="B181" s="8"/>
      <c r="C181" s="5"/>
      <c r="D181" s="7"/>
      <c r="E181" s="5"/>
      <c r="F181" s="5"/>
      <c r="G181" s="5"/>
      <c r="H181" s="5"/>
      <c r="I181" s="5"/>
    </row>
    <row r="182" spans="2:9">
      <c r="B182" s="8"/>
      <c r="C182" s="5"/>
      <c r="D182" s="7"/>
      <c r="E182" s="5"/>
      <c r="F182" s="5"/>
      <c r="G182" s="5"/>
      <c r="H182" s="5"/>
      <c r="I182" s="5"/>
    </row>
    <row r="183" spans="2:9">
      <c r="B183" s="8"/>
      <c r="C183" s="5"/>
      <c r="D183" s="7"/>
      <c r="E183" s="5"/>
      <c r="F183" s="5"/>
      <c r="G183" s="5"/>
      <c r="H183" s="5"/>
      <c r="I183" s="5"/>
    </row>
    <row r="184" spans="2:9">
      <c r="B184" s="8"/>
      <c r="C184" s="5"/>
      <c r="D184" s="7"/>
      <c r="E184" s="5"/>
      <c r="F184" s="5"/>
      <c r="G184" s="5"/>
      <c r="H184" s="5"/>
      <c r="I184" s="5"/>
    </row>
    <row r="185" spans="2:9">
      <c r="B185" s="8"/>
      <c r="C185" s="5"/>
      <c r="D185" s="7"/>
      <c r="E185" s="5"/>
      <c r="F185" s="5"/>
      <c r="G185" s="5"/>
      <c r="H185" s="5"/>
      <c r="I185" s="5"/>
    </row>
  </sheetData>
  <autoFilter ref="B2:I185" xr:uid="{00000000-0001-0000-0000-000000000000}">
    <sortState xmlns:xlrd2="http://schemas.microsoft.com/office/spreadsheetml/2017/richdata2" ref="B3:I185">
      <sortCondition ref="B2:B185"/>
    </sortState>
  </autoFilter>
  <mergeCells count="1">
    <mergeCell ref="B1:H1"/>
  </mergeCells>
  <phoneticPr fontId="5" type="noConversion"/>
  <conditionalFormatting sqref="B3:H44 B45:D47 E46:H46 F47:H47">
    <cfRule type="expression" dxfId="5" priority="12">
      <formula>MOD(ROW(),2)=0</formula>
    </cfRule>
  </conditionalFormatting>
  <conditionalFormatting sqref="B48:H185">
    <cfRule type="expression" dxfId="4" priority="1">
      <formula>MOD(ROW(),2)=0</formula>
    </cfRule>
  </conditionalFormatting>
  <conditionalFormatting sqref="I48">
    <cfRule type="expression" dxfId="3" priority="10">
      <formula>MOD(ROW(),2)=0</formula>
    </cfRule>
  </conditionalFormatting>
  <conditionalFormatting sqref="I50">
    <cfRule type="expression" dxfId="2" priority="11">
      <formula>MOD(ROW(),2)=0</formula>
    </cfRule>
  </conditionalFormatting>
  <conditionalFormatting sqref="I52 I56 I60 I64 I69 I73 I77 I81 I86 I90 I95 I99 I103 I107 I112 I116 I120 I124 I127 I131 I135 I139 I144 I148 I152 I156 I161 I165 I167 I171 I175 I179 I184">
    <cfRule type="expression" dxfId="1" priority="7">
      <formula>MOD(ROW(),2)=0</formula>
    </cfRule>
  </conditionalFormatting>
  <conditionalFormatting sqref="I54 I58 I62 I66 I71 I75 I79 I83 I88 I92 I97 I101 I105 I109 I114 I118 I122 I129 I133 I137 I141 I146 I150 I154 I158 I163 I169 I173 I177 I181">
    <cfRule type="expression" dxfId="0" priority="4">
      <formula>MOD(ROW(),2)=0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Usage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lindsay</dc:creator>
  <cp:lastModifiedBy>ethan lindsay</cp:lastModifiedBy>
  <dcterms:created xsi:type="dcterms:W3CDTF">2026-09-08T21:43:35Z</dcterms:created>
  <dcterms:modified xsi:type="dcterms:W3CDTF">2026-10-18T16:37:34Z</dcterms:modified>
</cp:coreProperties>
</file>