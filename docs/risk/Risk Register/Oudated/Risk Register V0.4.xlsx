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risk/Risk Register/"/>
    </mc:Choice>
  </mc:AlternateContent>
  <xr:revisionPtr revIDLastSave="304" documentId="13_ncr:1_{F07EBCD7-E737-449F-A822-C4C1CE43D364}" xr6:coauthVersionLast="47" xr6:coauthVersionMax="47" xr10:uidLastSave="{81A33A41-7C2D-40C1-976D-7CDCF9FFA185}"/>
  <bookViews>
    <workbookView xWindow="-108" yWindow="-108" windowWidth="30936" windowHeight="17496" activeTab="2" xr2:uid="{BA10056D-F6A4-4484-A274-7E5295F534EE}"/>
  </bookViews>
  <sheets>
    <sheet name="Risk Method" sheetId="1" r:id="rId1"/>
    <sheet name="Risk Register" sheetId="2" r:id="rId2"/>
    <sheet name="Defence Prep" sheetId="4" r:id="rId3"/>
  </sheets>
  <definedNames>
    <definedName name="_xlnm._FilterDatabase" localSheetId="1" hidden="1">'Risk Register'!$B$2:$P$15</definedName>
    <definedName name="_xlnm.Print_Titles" localSheetId="1">'Risk Register'!$2:$2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7" i="2" l="1"/>
  <c r="I17" i="2" s="1"/>
  <c r="H16" i="2"/>
  <c r="I16" i="2" s="1"/>
  <c r="H15" i="2"/>
  <c r="I15" i="2" s="1"/>
  <c r="H14" i="2"/>
  <c r="I14" i="2" s="1"/>
  <c r="H13" i="2"/>
  <c r="I13" i="2" s="1"/>
  <c r="H12" i="2"/>
  <c r="I12" i="2" s="1"/>
  <c r="H11" i="2"/>
  <c r="I11" i="2" s="1"/>
  <c r="H10" i="2"/>
  <c r="I10" i="2" s="1"/>
  <c r="H9" i="2"/>
  <c r="I9" i="2" s="1"/>
  <c r="H8" i="2"/>
  <c r="I8" i="2" s="1"/>
  <c r="H7" i="2"/>
  <c r="I7" i="2" s="1"/>
  <c r="H6" i="2"/>
  <c r="I6" i="2" s="1"/>
  <c r="H5" i="2"/>
  <c r="I5" i="2" s="1"/>
  <c r="H4" i="2"/>
  <c r="I4" i="2" s="1"/>
  <c r="H3" i="2"/>
  <c r="I3" i="2" s="1"/>
  <c r="C38" i="1" s="1"/>
  <c r="E33" i="1"/>
  <c r="D33" i="1"/>
  <c r="C33" i="1"/>
  <c r="E32" i="1"/>
  <c r="D32" i="1"/>
  <c r="C32" i="1"/>
  <c r="E31" i="1"/>
  <c r="D31" i="1"/>
  <c r="C31" i="1"/>
  <c r="C37" i="1" l="1"/>
  <c r="C39" i="1"/>
  <c r="C40" i="1" l="1"/>
</calcChain>
</file>

<file path=xl/sharedStrings.xml><?xml version="1.0" encoding="utf-8"?>
<sst xmlns="http://schemas.openxmlformats.org/spreadsheetml/2006/main" count="220" uniqueCount="176">
  <si>
    <t>8.1 Risk assessment method</t>
  </si>
  <si>
    <t>Scale</t>
  </si>
  <si>
    <t>Low (1)</t>
  </si>
  <si>
    <t>Medium (2)</t>
  </si>
  <si>
    <t>High (3)</t>
  </si>
  <si>
    <t>Probability</t>
  </si>
  <si>
    <t>No current indicator. Occurrence would require an unexpected change in project or organisational conditions before the M4 gate.</t>
  </si>
  <si>
    <t>Plausible on the evidence available, or dependent on an assumption the team has recorded but not confirmed.</t>
  </si>
  <si>
    <t>An indicator is already present in the scenario or the project, or the risk depends on information the team knows it does not have.</t>
  </si>
  <si>
    <t>Impact</t>
  </si>
  <si>
    <t>Absorbed within the current milestone. No baselined requirement, constraint or date changes.</t>
  </si>
  <si>
    <t>Forces a controlled change to a baselined artefact, or consumes schedule contingency, or degrades a stated business capability.</t>
  </si>
  <si>
    <t>Defeats a stated business need or a committed capability, breaches a security or personal-information obligation, or threatens the milestone gate. Recovery requires re-baselining.</t>
  </si>
  <si>
    <t>Priority bands</t>
  </si>
  <si>
    <t>1 – 2</t>
  </si>
  <si>
    <t>LOW — monitored at the scheduled milestone review; no action committed.</t>
  </si>
  <si>
    <t>3 – 4</t>
  </si>
  <si>
    <t>MEDIUM — a named mitigation is committed and tracked to a milestone.</t>
  </si>
  <si>
    <t>6 – 9</t>
  </si>
  <si>
    <t>HIGH — mitigation is active now and the risk is reviewed at every team meeting.</t>
  </si>
  <si>
    <t>The register is reviewed at every milestone, as required by Master Project Brief s.12.</t>
  </si>
  <si>
    <t>Numeric scale used in the Prob. and Impact columns — enter 1, 2 or 3</t>
  </si>
  <si>
    <t>Risk exposure matrix</t>
  </si>
  <si>
    <t>Each cell is the Priority score the scale produces for that combination — Probability × Impact. Colour shows the band: 1–2 Low, 3–4 Medium, 6–9 High.</t>
  </si>
  <si>
    <t>Impact ↓   /   Probability →</t>
  </si>
  <si>
    <t>Band</t>
  </si>
  <si>
    <t>Count</t>
  </si>
  <si>
    <t>High</t>
  </si>
  <si>
    <t>Medium</t>
  </si>
  <si>
    <t>Low</t>
  </si>
  <si>
    <t>Total</t>
  </si>
  <si>
    <t>ID</t>
  </si>
  <si>
    <t>Risk description</t>
  </si>
  <si>
    <t>Cause</t>
  </si>
  <si>
    <t>Early-warning indicator</t>
  </si>
  <si>
    <t>Prob.
(1–3)</t>
  </si>
  <si>
    <t>Impact
(1–3)</t>
  </si>
  <si>
    <t>Priority
(P×I)</t>
  </si>
  <si>
    <t>Mitigation (preventive)</t>
  </si>
  <si>
    <t>Contingency (if realised)</t>
  </si>
  <si>
    <t>Owner</t>
  </si>
  <si>
    <t>Status</t>
  </si>
  <si>
    <t>Linked artefacts</t>
  </si>
  <si>
    <t>RSK-001</t>
  </si>
  <si>
    <t>Requesters keep using email, telephone and WhatsApp after the platform is live, so the single controlled record of a request lifecycle is never achieved.</t>
  </si>
  <si>
    <t>SCP-017 deliberately excludes ingestion from the existing channels, and nothing in the platform closes them. Channel retirement is an organisational decision the team does not control.</t>
  </si>
  <si>
    <t>Any pilot week in which STK-004 reports requests still arriving by telephone or WhatsApp.</t>
  </si>
  <si>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</si>
  <si>
    <t>Coordinator-side capture becomes the primary path rather than the exception; record the reduced value against STK-001 and the weakened reporting against STK-005.</t>
  </si>
  <si>
    <t>Ethan</t>
  </si>
  <si>
    <t>Open</t>
  </si>
  <si>
    <t>SCP-017 · SCP-001 · STK-001 · STK-004 · STK-008 · FEC-002</t>
  </si>
  <si>
    <t>RSK-002</t>
  </si>
  <si>
    <t>Identifiable personal information is retained indefinitely because no retention period exists and automated enforcement is deferred.</t>
  </si>
  <si>
    <t>DEC-005 defers the retention period pending guidance from STK-009 that the team does not have, and SCP-020 defers enforcement as a consequence. With no rule, the default behaviour of any implementation is to keep everything.</t>
  </si>
  <si>
    <t>Reaching the M2 data model with DEC-005 still open and unowned.</t>
  </si>
  <si>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</si>
  <si>
    <t>Adopt a documented institutional retention standard as an interim position, recorded as an assumption with its basis, and mark the affected acceptance criteria provisional until STK-009 confirms.</t>
  </si>
  <si>
    <t>DEC-005 · CFL-004 · SCP-020 · CON-007 · STK-009 · FEC-001</t>
  </si>
  <si>
    <t>RSK-003</t>
  </si>
  <si>
    <t>'Overdue' has no agreed definition, so SCP-011 cannot be specified, accepted or tested.</t>
  </si>
  <si>
    <t>SCP-011 commits to identifying overdue requests, but no service-level target exists for any category and — unlike every other open question in the baseline — no decision or deferment has been logged for it.</t>
  </si>
  <si>
    <t>An acceptance criterion for SCP-011 that a third party could not evaluate without asking the team what was meant.</t>
  </si>
  <si>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</si>
  <si>
    <t>Baseline a stated default target, record it as an assumption with its basis, and mark the SCP-011 acceptance criteria provisional.</t>
  </si>
  <si>
    <t>Robert</t>
  </si>
  <si>
    <t>SCP-011 · STK-005 · CON-005 · no DEC logged — gap</t>
  </si>
  <si>
    <t>RSK-004</t>
  </si>
  <si>
    <t>Duplicate requests are recreated inside the platform, so the duplication STK-004 needs removed persists in a new form.</t>
  </si>
  <si>
    <t>Avoiding duplicate requests is STK-004's primary stated need, but no in-scope capability addresses detection. SCP-006 provides search and filter after the fact, not prevention at the point of submission.</t>
  </si>
  <si>
    <t>Demonstration or pilot data showing several open requests with the same category and location.</t>
  </si>
  <si>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</si>
  <si>
    <t>Provide STK-004 with a link-or-merge action on related requests and accept the residual manual effort, recording it against that stakeholder.</t>
  </si>
  <si>
    <t>STK-004 · SCP-001 · SCP-006 · Master Brief s.2</t>
  </si>
  <si>
    <t>RSK-005</t>
  </si>
  <si>
    <t>Management reporting is unreliable because the detail it depends on is optional.</t>
  </si>
  <si>
    <t>DEC-006 limits mandatory capture to category, location and description and moves further detail to after submission. CFL-001 accepts that reporting richness therefore depends on requesters supplying optional detail they have little incentive to supply.</t>
  </si>
  <si>
    <t>Sample submissions in which the post-submission detail is left empty.</t>
  </si>
  <si>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</si>
  <si>
    <t>Make one additional field mandatory through controlled change, accepting the submission-effort cost to STK-001 that CFL-001 was resolved to avoid.</t>
  </si>
  <si>
    <t>DEC-006 · CFL-001 · SCP-011 · STK-001 · STK-005</t>
  </si>
  <si>
    <t>RSK-006</t>
  </si>
  <si>
    <t>The campus context assumption proves wrong, invalidating the stakeholder register and every requirement derived from it.</t>
  </si>
  <si>
    <t>DEC-001 records that the Master Brief does not name the client organisation and that a campus context was inferred from the request types. The decision itself states that STK-001 to STK-009 and every derived requirement would have to be revisited.</t>
  </si>
  <si>
    <t>Any lecturer feedback that questions the client organisation rather than the analysis.</t>
  </si>
  <si>
    <t>Confirm the context with the lecturer acting as proxy client at the earliest review point — the check costs nothing and removes the risk entirely. Until then keep the derivation visible in the RTM so the blast radius of a reversal is known rather than discovered.</t>
  </si>
  <si>
    <t>Rework the stakeholder register and re-derive requirements through controlled change with a full impact assessment; retain the identifiers and mark superseded entries Withdrawn rather than renumbering.</t>
  </si>
  <si>
    <t>DEC-001 · STK-001…STK-009 · CON-007 · RTM</t>
  </si>
  <si>
    <t>RSK-007</t>
  </si>
  <si>
    <t>The technology stack selected at M2 is unavailable or unsupported in the institutional environment.</t>
  </si>
  <si>
    <t>CON-008 records that Belgium Campus does not guarantee availability or support for any chosen language, framework, service or platform. DEC-002 defers the choice and names environment verification as evidence still required.</t>
  </si>
  <si>
    <t>M2 planning that names a stack before the availability check has been run.</t>
  </si>
  <si>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</si>
  <si>
    <t>Fall back to a stack already proven available in the environment, accept the reduced requirement fit, and record the trade-off in the M2 ADR.</t>
  </si>
  <si>
    <t>CON-008 · DEC-002 · CON-004 · FEC-004</t>
  </si>
  <si>
    <t>RSK-008</t>
  </si>
  <si>
    <t>The hosting platform cannot satisfy the security and personal-information constraints within the cost constraint.</t>
  </si>
  <si>
    <t>DEC-003 records that free tiers commonly omit audit log retention, backups and private networking, which CON-006 and CON-007 require. The conflict is documented but unresolved, and SCP-014 and SCP-015 both depend on it.</t>
  </si>
  <si>
    <t>A candidate platform shortlisted on price before its audit and backup limits are documented.</t>
  </si>
  <si>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</si>
  <si>
    <t>Accept a paid tier and record the operational cost against STK-008, or reduce the audit retention period through controlled change with STK-009 consulted.</t>
  </si>
  <si>
    <t>DEC-003 · CON-003 · CON-006 · CON-007 · SCP-008 · SCP-014 · SCP-015 · FEC-005</t>
  </si>
  <si>
    <t>RSK-009</t>
  </si>
  <si>
    <t>Role-based access control is specified but only partially delivered, so the CFL-002 restriction on security-category requests is not honoured.</t>
  </si>
  <si>
    <t>SCP-012 and DEC-004 correctly treat authorisation as architecturally significant, but it is realised at M2 and M3 across every view and status transition. Partially applied authorisation is indistinguishable from working software until the wrong person sees a security request.</t>
  </si>
  <si>
    <t>Any view or status transition specified without naming which role may reach it.</t>
  </si>
  <si>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</si>
  <si>
    <t>Restrict the security category to the security role entirely until the role model is verified, accepting the reduced requester visibility and recording it against STK-001.</t>
  </si>
  <si>
    <t>CFL-002 · SCP-012 · DEC-004 · CON-006 · STK-006 · STK-007 · FEC-001</t>
  </si>
  <si>
    <t>RSK-010</t>
  </si>
  <si>
    <t>Quality thresholds baselined at M1 prove unachievable on the stack and platform chosen at M2.</t>
  </si>
  <si>
    <t>DEC-002 and DEC-003 both defer, while CON-005 requires quality attributes to be defined measurably now and evidenced later. The thresholds are therefore committed before anything is known about what will run them.</t>
  </si>
  <si>
    <t>A quality attribute whose threshold was chosen without a stated measurement condition.</t>
  </si>
  <si>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</si>
  <si>
    <t>Relax a threshold only through controlled change with the impact and justification recorded — never by silent redefinition.</t>
  </si>
  <si>
    <t>CON-005 · DEC-002 · DEC-003 · FEC-003</t>
  </si>
  <si>
    <t>RSK-011</t>
  </si>
  <si>
    <t>Mobile web usability fails the technicians who must update status from where the work is done.</t>
  </si>
  <si>
    <t>DEC-007 excludes a native application and places a usability obligation on the web interface for mobile viewports. STK-002's stated need is to update status away from a desk, on institutional wireless coverage.</t>
  </si>
  <si>
    <t>A technician status-update path that has only been exercised on a desktop viewport.</t>
  </si>
  <si>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</si>
  <si>
    <t>Reduce the technician path to a minimal status-update view, accepting reduced functionality on mobile and recording it against STK-002 and STK-003.</t>
  </si>
  <si>
    <t>DEC-007 · SCP-013 · SCP-008 · STK-002 · STK-003 · CON-005</t>
  </si>
  <si>
    <t>RSK-012</t>
  </si>
  <si>
    <t>Traceability decays after baseline because merged changes do not update the RTM, breaking the source-to-acceptance chain.</t>
  </si>
  <si>
    <t>The RTM's design, test and release columns are only populated from M2 onward, so it is easy to merge a change and leave the matrix behind. CON-001 requires controlled change, which depends on the trace being current.</t>
  </si>
  <si>
    <t>A merged pull request that names no requirement or scope ID.</t>
  </si>
  <si>
    <t>Make the RTM update part of the definition of done for a controlled artefact and require the affected IDs in the pull request template. Treat identifiers as permanent — retire an entry as Withdrawn rather than reusing its number, which matters most if RSK-006 is ever realised.</t>
  </si>
  <si>
    <t>Reconstruct the trace from pull request history, re-review it, and record the gap in the version history rather than back-dating entries.</t>
  </si>
  <si>
    <t>CON-001 · RTM · RSK-006 · Master Brief s.11</t>
  </si>
  <si>
    <t>RSK-013</t>
  </si>
  <si>
    <t>The two-reviewer approval rule stalls the protected main branch on a three-member team.</t>
  </si>
  <si>
    <t>CON-004 records exactly three students working part-time alongside other modules. The Master Brief requires two approvals from members other than the author and does not accept self-approval, so every pull request needs both other members and one absence blocks all merges.</t>
  </si>
  <si>
    <t>Pull requests open longer than the review turnaround agreed in the working agreement.</t>
  </si>
  <si>
    <t>Fix a review turnaround expectation in the Team Working Agreement, keep pull requests small and single-purpose so review is cheap, and work on parallel branches so one blocked request does not block the milestone.</t>
  </si>
  <si>
    <t>Escalate to the lecturer for a recorded exception rather than merging unapproved work into main.</t>
  </si>
  <si>
    <t>Christiaan</t>
  </si>
  <si>
    <t>CON-004 · CON-002 · Master Brief s.9</t>
  </si>
  <si>
    <t>8.3 Highest-priority risk — defence</t>
  </si>
  <si>
    <t>Aspect</t>
  </si>
  <si>
    <t>Response</t>
  </si>
  <si>
    <t>Risk</t>
  </si>
  <si>
    <t>RSK-001 — Requesters keep using email, telephone and WhatsApp after the platform is live, so the single controlled record of a request lifecycle is never achieved. Priority 9 (High).</t>
  </si>
  <si>
    <t>Why it deserves the most attention now</t>
  </si>
  <si>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</si>
  <si>
    <t>Requirements and constraints threatened</t>
  </si>
  <si>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</si>
  <si>
    <t>Any pilot week in which STK-004 reports requests still arriving by telephone or WhatsApp. Chosen because it is observable during M3 by the one stakeholder who sees every channel, rather than a lagging measure such as final adoption at M4.</t>
  </si>
  <si>
    <t>Mitigation already in place</t>
  </si>
  <si>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</si>
  <si>
    <t>Consequence if unmitigated</t>
  </si>
  <si>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</si>
  <si>
    <t>Defence question 6 — why later-lifecycle concerns belong in M1</t>
  </si>
  <si>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</si>
  <si>
    <t>Defence question 7 — a decision deliberately not made</t>
  </si>
  <si>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</si>
  <si>
    <t>Defence question 12 — an early shortcut that creates debt later</t>
  </si>
  <si>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</si>
  <si>
    <t>A gap to raise honestly, not hide</t>
  </si>
  <si>
    <t>No decision or deferment has been logged for the SCP-011 service-level target, although every other open question in the baseline is captured as a DEC. Carried here as RSK-003. Raising it yourself in the presentation is stronger evidence of control than being asked about it.</t>
  </si>
  <si>
    <t>8.2 Risk Register</t>
  </si>
  <si>
    <t>Where the register’s 13 risks actually are</t>
  </si>
  <si>
    <t>RSK-014</t>
  </si>
  <si>
    <t>RSK-015</t>
  </si>
  <si>
    <t>The AI productivity assumption underpinning the schedule fails to deliver the required multiplier, and the remaining critical path overruns the delivery window.</t>
  </si>
  <si>
    <t>Charter §4.6 records that closing the capacity gap requires a 6.39× multiplier on the ~61% of remaining work judged AI-accelerable. The figure is derived from the schedule rather than measured, and the fixed work alone consumes 4.46 of the 5.57 available weeks.</t>
  </si>
  <si>
    <t>Delivered scope at the 29 September week-3 gate falling below the burn implied by m = 6.39×.</t>
  </si>
  <si>
    <t>Adopt the CON-013 week-3 gate as a velocity checkpoint with a scope-reduction order agreed in advance — Low band first, then Medium, never the CON-001 floor without a change request to STK-010. Record the measurement in the Decision Log either way.</t>
  </si>
  <si>
    <t>Trigger the CON-009 scope reduction against the pre-agreed order and record the descope as a controlled change rather than an overrun.</t>
  </si>
  <si>
    <t>CON-009 · CON-013 · CON-004 · Charter §4.6 · RK-03 · RK-11 · A13 · A14 · AI Usage Register</t>
  </si>
  <si>
    <t>DEC-002 and DEC-003 are not closed by 22 September, so the CON-013 week-3 demonstration cannot be met.</t>
  </si>
  <si>
    <t>CON-013 requires demonstrable frontend, backend and API progress by 29 September, which is unreachable without a committed stack and deployment target. Both decisions were deliberately deferred at M1 for want of evidence, leaving 13 days to gather it.</t>
  </si>
  <si>
    <t>15 September reached with no candidate stack shortlist and no free-tier limits documented.</t>
  </si>
  <si>
    <t>Fix 22 September as a hard decision deadline; time-box evaluation to three candidates; restrict candidates to stacks meeting CON-004 familiarity and verified available on BC Desktop under CON-008.</t>
  </si>
  <si>
    <t>Adopt a stack already proven available in the environment and record the constrained choice with its consequences in the Decision Log.</t>
  </si>
  <si>
    <t>DEC-002 · DEC-003 · CON-013 · CON-008 · CON-003 · RK-01 · RK-02 · RK-12 · FEC-004 · FEC-005 · RSK-007 · RSK-008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</si>
</sst>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b/>
      <sz val="14"/>
      <name val="Arial"/>
      <family val="2"/>
    </font>
    <font>
      <b/>
      <sz val="11"/>
      <name val="Arial"/>
      <family val="2"/>
    </font>
    <font>
      <sz val="11"/>
      <color theme="1"/>
      <name val="Arial"/>
      <family val="2"/>
    </font>
    <font>
      <b/>
      <sz val="12"/>
      <color rgb="FF1F3864"/>
      <name val="Arial"/>
      <family val="2"/>
    </font>
    <font>
      <b/>
      <sz val="10"/>
      <color rgb="FF000000"/>
      <name val="Arial"/>
      <family val="2"/>
    </font>
    <font>
      <sz val="10"/>
      <color rgb="FF000000"/>
      <name val="Arial"/>
      <family val="2"/>
    </font>
  </fonts>
  <fills count="14">
    <fill>
      <patternFill patternType="none"/>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
      <patternFill patternType="solid">
        <fgColor rgb="FF2F5597"/>
        <bgColor indexed="64"/>
      </patternFill>
    </fill>
    <fill>
      <patternFill patternType="solid">
        <fgColor rgb="FFFFFFFF"/>
        <bgColor indexed="64"/>
      </patternFill>
    </fill>
    <fill>
      <patternFill patternType="solid">
        <fgColor rgb="FFF2F5FA"/>
        <bgColor indexed="64"/>
      </patternFill>
    </fill>
  </fills>
  <borders count="3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2F5597"/>
      </top>
      <bottom style="thin">
        <color rgb="FFBFBFBF"/>
      </bottom>
      <diagonal/>
    </border>
    <border>
      <left style="thin">
        <color rgb="FFBFBFBF"/>
      </left>
      <right style="thin">
        <color rgb="FFBFBFBF"/>
      </right>
      <top style="thin">
        <color rgb="FFBFBFBF"/>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medium">
        <color rgb="FF2F5597"/>
      </left>
      <right style="thin">
        <color rgb="FFBFBFBF"/>
      </right>
      <top style="thin">
        <color rgb="FFBFBFBF"/>
      </top>
      <bottom style="medium">
        <color rgb="FF2F5597"/>
      </bottom>
      <diagonal/>
    </border>
    <border>
      <left style="thin">
        <color rgb="FFBFBFBF"/>
      </left>
      <right style="medium">
        <color rgb="FF2F5597"/>
      </right>
      <top style="medium">
        <color rgb="FF2F5597"/>
      </top>
      <bottom style="thin">
        <color rgb="FFBFBFBF"/>
      </bottom>
      <diagonal/>
    </border>
    <border>
      <left style="thin">
        <color rgb="FFBFBFBF"/>
      </left>
      <right style="medium">
        <color rgb="FF2F5597"/>
      </right>
      <top style="thin">
        <color rgb="FFBFBFBF"/>
      </top>
      <bottom style="thin">
        <color rgb="FFBFBFBF"/>
      </bottom>
      <diagonal/>
    </border>
    <border>
      <left style="thin">
        <color rgb="FFBFBFBF"/>
      </left>
      <right style="medium">
        <color rgb="FF2F5597"/>
      </right>
      <top style="thin">
        <color rgb="FFBFBFBF"/>
      </top>
      <bottom style="medium">
        <color rgb="FF2F5597"/>
      </bottom>
      <diagonal/>
    </border>
    <border>
      <left/>
      <right/>
      <top/>
      <bottom style="medium">
        <color rgb="FF2F5597"/>
      </bottom>
      <diagonal/>
    </border>
  </borders>
  <cellStyleXfs count="1">
    <xf numFmtId="0" fontId="0" fillId="0" borderId="0"/>
  </cellStyleXfs>
  <cellXfs count="82">
    <xf numFmtId="0" fontId="0" fillId="0" borderId="0" xfId="0"/>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6" borderId="1" xfId="0" applyFont="1" applyFill="1" applyBorder="1" applyAlignment="1">
      <alignment vertical="top" wrapText="1"/>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3" fillId="2" borderId="13" xfId="0" applyFont="1" applyFill="1" applyBorder="1" applyAlignment="1">
      <alignment horizontal="center" vertical="center" wrapText="1"/>
    </xf>
    <xf numFmtId="0" fontId="6" fillId="3" borderId="2" xfId="0" applyFont="1" applyFill="1" applyBorder="1" applyAlignment="1">
      <alignment horizontal="center" vertical="center"/>
    </xf>
    <xf numFmtId="0" fontId="3" fillId="2" borderId="14"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6" fillId="5" borderId="7" xfId="0" applyFont="1" applyFill="1" applyBorder="1" applyAlignment="1">
      <alignment horizontal="center" vertical="center"/>
    </xf>
    <xf numFmtId="0" fontId="6" fillId="4" borderId="8" xfId="0" applyFont="1" applyFill="1" applyBorder="1" applyAlignment="1">
      <alignment horizontal="center" vertical="center"/>
    </xf>
    <xf numFmtId="1" fontId="6" fillId="7" borderId="1" xfId="0" applyNumberFormat="1" applyFont="1" applyFill="1" applyBorder="1" applyAlignment="1">
      <alignment horizontal="center" vertical="center"/>
    </xf>
    <xf numFmtId="1" fontId="6" fillId="8" borderId="1" xfId="0" applyNumberFormat="1" applyFont="1" applyFill="1" applyBorder="1" applyAlignment="1">
      <alignment horizontal="center" vertical="center"/>
    </xf>
    <xf numFmtId="1" fontId="6" fillId="8" borderId="7"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 fontId="6" fillId="9" borderId="2" xfId="0" applyNumberFormat="1" applyFont="1" applyFill="1" applyBorder="1" applyAlignment="1">
      <alignment horizontal="center" vertical="center"/>
    </xf>
    <xf numFmtId="1" fontId="6" fillId="7" borderId="8" xfId="0" applyNumberFormat="1" applyFont="1" applyFill="1" applyBorder="1" applyAlignment="1">
      <alignment horizontal="center" vertical="center"/>
    </xf>
    <xf numFmtId="0" fontId="3" fillId="2" borderId="20" xfId="0" applyFont="1" applyFill="1" applyBorder="1" applyAlignment="1">
      <alignment horizontal="left" vertical="center" wrapText="1"/>
    </xf>
    <xf numFmtId="0" fontId="5" fillId="6" borderId="20" xfId="0" applyFont="1" applyFill="1" applyBorder="1" applyAlignment="1">
      <alignment vertical="top" wrapText="1"/>
    </xf>
    <xf numFmtId="0" fontId="3" fillId="11" borderId="21"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3" fillId="11" borderId="26" xfId="0" applyFont="1" applyFill="1" applyBorder="1" applyAlignment="1">
      <alignment horizontal="center" vertical="center" wrapText="1"/>
    </xf>
    <xf numFmtId="0" fontId="8" fillId="0" borderId="0" xfId="0" applyFont="1"/>
    <xf numFmtId="0" fontId="8"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horizontal="left" vertical="top" wrapText="1"/>
    </xf>
    <xf numFmtId="0" fontId="8" fillId="0" borderId="6" xfId="0" applyFont="1" applyBorder="1" applyAlignment="1">
      <alignment vertical="top"/>
    </xf>
    <xf numFmtId="0" fontId="5" fillId="0" borderId="3" xfId="0" applyFont="1" applyBorder="1" applyAlignment="1">
      <alignment horizontal="left" vertical="top"/>
    </xf>
    <xf numFmtId="0" fontId="4" fillId="0" borderId="6" xfId="0" applyFont="1" applyBorder="1" applyAlignment="1">
      <alignment horizontal="center" vertical="top"/>
    </xf>
    <xf numFmtId="0" fontId="5" fillId="0" borderId="9" xfId="0" applyFont="1" applyBorder="1" applyAlignment="1">
      <alignment horizontal="left" vertical="top"/>
    </xf>
    <xf numFmtId="0" fontId="4" fillId="0" borderId="11" xfId="0" applyFont="1" applyBorder="1" applyAlignment="1">
      <alignment horizontal="center" vertical="top"/>
    </xf>
    <xf numFmtId="0" fontId="5" fillId="0" borderId="10" xfId="0" applyFont="1" applyBorder="1" applyAlignment="1">
      <alignment horizontal="left" vertical="top"/>
    </xf>
    <xf numFmtId="0" fontId="4" fillId="0" borderId="12" xfId="0" applyFont="1" applyBorder="1" applyAlignment="1">
      <alignment horizontal="center" vertical="top"/>
    </xf>
    <xf numFmtId="0" fontId="1" fillId="0" borderId="0" xfId="0" applyFont="1" applyAlignment="1">
      <alignment horizontal="center" vertical="top"/>
    </xf>
    <xf numFmtId="0" fontId="1" fillId="0" borderId="0" xfId="0" applyFont="1" applyAlignment="1">
      <alignment vertical="center"/>
    </xf>
    <xf numFmtId="0" fontId="9" fillId="0" borderId="3" xfId="0" applyFont="1" applyBorder="1" applyAlignment="1">
      <alignment horizontal="left" vertical="center"/>
    </xf>
    <xf numFmtId="0" fontId="9" fillId="0" borderId="0" xfId="0" applyFont="1" applyAlignment="1">
      <alignment horizontal="left" vertical="center"/>
    </xf>
    <xf numFmtId="0" fontId="3" fillId="2" borderId="14" xfId="0" applyFont="1" applyFill="1" applyBorder="1" applyAlignment="1">
      <alignment horizontal="center" vertical="center" wrapText="1"/>
    </xf>
    <xf numFmtId="0" fontId="3" fillId="2" borderId="4" xfId="0" applyFont="1" applyFill="1" applyBorder="1" applyAlignment="1">
      <alignment horizontal="center" vertical="center" indent="1"/>
    </xf>
    <xf numFmtId="0" fontId="3" fillId="2" borderId="5" xfId="0" applyFont="1" applyFill="1" applyBorder="1" applyAlignment="1">
      <alignment horizontal="center" vertical="center" indent="1"/>
    </xf>
    <xf numFmtId="0" fontId="4" fillId="5" borderId="4" xfId="0" applyFont="1" applyFill="1" applyBorder="1" applyAlignment="1">
      <alignment horizontal="left" vertical="center"/>
    </xf>
    <xf numFmtId="0" fontId="7" fillId="0" borderId="7" xfId="0" applyFont="1" applyBorder="1" applyAlignment="1">
      <alignment horizontal="center" vertical="center"/>
    </xf>
    <xf numFmtId="0" fontId="4" fillId="4" borderId="4" xfId="0" applyFont="1" applyFill="1" applyBorder="1" applyAlignment="1">
      <alignment horizontal="left" vertical="center"/>
    </xf>
    <xf numFmtId="0" fontId="4" fillId="3" borderId="16" xfId="0" applyFont="1" applyFill="1" applyBorder="1" applyAlignment="1">
      <alignment horizontal="left" vertical="center"/>
    </xf>
    <xf numFmtId="0" fontId="7" fillId="0" borderId="18" xfId="0" applyFont="1" applyBorder="1" applyAlignment="1">
      <alignment horizontal="center" vertical="center"/>
    </xf>
    <xf numFmtId="0" fontId="4" fillId="10" borderId="17" xfId="0" applyFont="1" applyFill="1" applyBorder="1" applyAlignment="1">
      <alignment vertical="center"/>
    </xf>
    <xf numFmtId="0" fontId="7" fillId="10" borderId="19" xfId="0" applyFont="1" applyFill="1" applyBorder="1" applyAlignment="1">
      <alignment horizontal="center" vertical="center"/>
    </xf>
    <xf numFmtId="0" fontId="3" fillId="11" borderId="23" xfId="0" applyFont="1" applyFill="1" applyBorder="1" applyAlignment="1">
      <alignment horizontal="left" vertical="center" wrapText="1"/>
    </xf>
    <xf numFmtId="0" fontId="3" fillId="11" borderId="26" xfId="0" applyFont="1" applyFill="1" applyBorder="1" applyAlignment="1">
      <alignment horizontal="left" vertical="center" wrapText="1"/>
    </xf>
    <xf numFmtId="0" fontId="1" fillId="0" borderId="29" xfId="0" applyFont="1" applyBorder="1" applyAlignment="1">
      <alignment horizontal="left" vertical="center"/>
    </xf>
    <xf numFmtId="0" fontId="10" fillId="0" borderId="24" xfId="0" applyFont="1" applyBorder="1" applyAlignment="1">
      <alignment vertical="top" wrapText="1"/>
    </xf>
    <xf numFmtId="0" fontId="11" fillId="12" borderId="27" xfId="0" applyFont="1" applyFill="1" applyBorder="1" applyAlignment="1">
      <alignment vertical="top" wrapText="1"/>
    </xf>
    <xf numFmtId="0" fontId="10" fillId="13" borderId="24" xfId="0" applyFont="1" applyFill="1" applyBorder="1" applyAlignment="1">
      <alignment vertical="top" wrapText="1"/>
    </xf>
    <xf numFmtId="0" fontId="11" fillId="13" borderId="27" xfId="0" applyFont="1" applyFill="1" applyBorder="1" applyAlignment="1">
      <alignment vertical="top" wrapText="1"/>
    </xf>
    <xf numFmtId="0" fontId="10" fillId="0" borderId="25" xfId="0" applyFont="1" applyBorder="1" applyAlignment="1">
      <alignment vertical="top" wrapText="1"/>
    </xf>
    <xf numFmtId="0" fontId="11" fillId="12" borderId="28" xfId="0" applyFont="1" applyFill="1" applyBorder="1" applyAlignment="1">
      <alignment vertical="top" wrapText="1"/>
    </xf>
    <xf numFmtId="0" fontId="10" fillId="12" borderId="24" xfId="0" applyFont="1" applyFill="1" applyBorder="1" applyAlignment="1">
      <alignment horizontal="center" vertical="top" wrapText="1"/>
    </xf>
    <xf numFmtId="0" fontId="11" fillId="12" borderId="1" xfId="0" applyFont="1" applyFill="1" applyBorder="1" applyAlignment="1">
      <alignment vertical="top" wrapText="1"/>
    </xf>
    <xf numFmtId="0" fontId="11" fillId="12"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12" borderId="1" xfId="0" applyFont="1" applyFill="1" applyBorder="1" applyAlignment="1">
      <alignment horizontal="center" vertical="top" wrapText="1"/>
    </xf>
    <xf numFmtId="0" fontId="10" fillId="13" borderId="24" xfId="0" applyFont="1" applyFill="1" applyBorder="1" applyAlignment="1">
      <alignment horizontal="center" vertical="top" wrapText="1"/>
    </xf>
    <xf numFmtId="0" fontId="11" fillId="13" borderId="1" xfId="0" applyFont="1" applyFill="1" applyBorder="1" applyAlignment="1">
      <alignment vertical="top" wrapText="1"/>
    </xf>
    <xf numFmtId="0" fontId="11" fillId="13"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1" fillId="13" borderId="1" xfId="0" applyFont="1" applyFill="1" applyBorder="1" applyAlignment="1">
      <alignment horizontal="center" vertical="top" wrapText="1"/>
    </xf>
    <xf numFmtId="0" fontId="10" fillId="12" borderId="25" xfId="0" applyFont="1" applyFill="1" applyBorder="1" applyAlignment="1">
      <alignment horizontal="center" vertical="top" wrapText="1"/>
    </xf>
    <xf numFmtId="0" fontId="11" fillId="12" borderId="22" xfId="0" applyFont="1" applyFill="1" applyBorder="1" applyAlignment="1">
      <alignment vertical="top" wrapText="1"/>
    </xf>
    <xf numFmtId="0" fontId="11" fillId="12" borderId="22" xfId="0" applyFont="1" applyFill="1" applyBorder="1" applyAlignment="1">
      <alignment horizontal="center" vertical="center" wrapText="1"/>
    </xf>
    <xf numFmtId="0" fontId="10" fillId="12" borderId="22" xfId="0" applyFont="1" applyFill="1" applyBorder="1" applyAlignment="1">
      <alignment horizontal="center" vertical="center" wrapText="1"/>
    </xf>
    <xf numFmtId="0" fontId="10" fillId="0" borderId="22" xfId="0" applyFont="1" applyBorder="1" applyAlignment="1">
      <alignment horizontal="center" vertical="center" wrapText="1"/>
    </xf>
    <xf numFmtId="0" fontId="11" fillId="12" borderId="22" xfId="0" applyFont="1" applyFill="1" applyBorder="1" applyAlignment="1">
      <alignment horizontal="center" vertical="top" wrapText="1"/>
    </xf>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D37460B-D3B4-46B1-ACBF-44D50F3834C3}">
  <we:reference id="wa200009404" version="1.0.0.8" store="en-US" storeType="OMEX"/>
  <we:alternateReferences>
    <we:reference id="WA200009404" version="1.0.0.8" store="" storeType="OMEX"/>
  </we:alternateReferences>
  <we:properties>
    <we:property name="claude.fileId" value="&quot;78986d20-769c-4d70-8bbb-ded7fa0e80cb&quot;"/>
  </we:properties>
  <we:bindings/>
  <we:snapshot xmlns:r="http://schemas.openxmlformats.org/officeDocument/2006/relationships"/>
</we:webextension>
</file>

<file path=xl/webextensions/webextension2.xml><?xml version="1.0" encoding="utf-8"?>
<we:webextension xmlns:we="http://schemas.microsoft.com/office/webextensions/webextension/2010/11" id="{A69AA76D-37ED-4D9C-853A-AC1E0828544A}">
  <we:reference id="wa200010725" version="1.0.0.1" store="en-US" storeType="OMEX"/>
  <we:alternateReferences>
    <we:reference id="wa200010725" version="1.0.0.1" store="en-US" storeType="OMEX"/>
  </we:alternateReferences>
  <we:properties>
    <we:property name="claude.fileId" value="&quot;ba8f5313-856a-4b5e-a2ac-16446a9a55d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7736-C693-45FB-8A4F-B07D7DA21AF4}">
  <sheetPr>
    <tabColor rgb="FF2F5597"/>
    <pageSetUpPr fitToPage="1"/>
  </sheetPr>
  <dimension ref="B1:E40"/>
  <sheetViews>
    <sheetView showGridLines="0" zoomScaleNormal="100" workbookViewId="0">
      <selection activeCell="D9" sqref="D9"/>
    </sheetView>
  </sheetViews>
  <sheetFormatPr defaultColWidth="8.6640625" defaultRowHeight="14.4" x14ac:dyDescent="0.3"/>
  <cols>
    <col min="1" max="1" width="2.5546875" customWidth="1"/>
    <col min="2" max="2" width="42.5546875" customWidth="1"/>
    <col min="3" max="5" width="46.33203125" customWidth="1"/>
  </cols>
  <sheetData>
    <row r="1" spans="2:5" ht="30" customHeight="1" x14ac:dyDescent="0.3">
      <c r="B1" s="43" t="s">
        <v>0</v>
      </c>
      <c r="C1" s="32"/>
      <c r="D1" s="32"/>
      <c r="E1" s="32"/>
    </row>
    <row r="2" spans="2:5" ht="12" customHeight="1" x14ac:dyDescent="0.3">
      <c r="B2" s="33"/>
      <c r="C2" s="32"/>
      <c r="D2" s="32"/>
      <c r="E2" s="32"/>
    </row>
    <row r="3" spans="2:5" ht="12" customHeight="1" x14ac:dyDescent="0.3">
      <c r="B3" s="32"/>
      <c r="C3" s="32"/>
      <c r="D3" s="32"/>
      <c r="E3" s="32"/>
    </row>
    <row r="4" spans="2:5" ht="24" customHeight="1" x14ac:dyDescent="0.3">
      <c r="B4" s="34" t="s">
        <v>1</v>
      </c>
      <c r="C4" s="34" t="s">
        <v>2</v>
      </c>
      <c r="D4" s="34" t="s">
        <v>3</v>
      </c>
      <c r="E4" s="34" t="s">
        <v>4</v>
      </c>
    </row>
    <row r="5" spans="2:5" ht="39.6" x14ac:dyDescent="0.3">
      <c r="B5" s="3" t="s">
        <v>5</v>
      </c>
      <c r="C5" s="4" t="s">
        <v>6</v>
      </c>
      <c r="D5" s="4" t="s">
        <v>7</v>
      </c>
      <c r="E5" s="4" t="s">
        <v>8</v>
      </c>
    </row>
    <row r="6" spans="2:5" ht="52.8" x14ac:dyDescent="0.3">
      <c r="B6" s="3" t="s">
        <v>9</v>
      </c>
      <c r="C6" s="4" t="s">
        <v>10</v>
      </c>
      <c r="D6" s="4" t="s">
        <v>11</v>
      </c>
      <c r="E6" s="4" t="s">
        <v>12</v>
      </c>
    </row>
    <row r="7" spans="2:5" ht="12" customHeight="1" thickBot="1" x14ac:dyDescent="0.35">
      <c r="B7" s="32"/>
      <c r="C7" s="32"/>
      <c r="D7" s="32"/>
      <c r="E7" s="32"/>
    </row>
    <row r="8" spans="2:5" ht="25.95" customHeight="1" x14ac:dyDescent="0.3">
      <c r="B8" s="44" t="s">
        <v>13</v>
      </c>
      <c r="C8" s="35"/>
      <c r="D8" s="32"/>
      <c r="E8" s="32"/>
    </row>
    <row r="9" spans="2:5" ht="26.4" x14ac:dyDescent="0.3">
      <c r="B9" s="9" t="s">
        <v>14</v>
      </c>
      <c r="C9" s="12" t="s">
        <v>15</v>
      </c>
      <c r="D9" s="32"/>
      <c r="E9" s="32"/>
    </row>
    <row r="10" spans="2:5" ht="26.4" x14ac:dyDescent="0.3">
      <c r="B10" s="10" t="s">
        <v>16</v>
      </c>
      <c r="C10" s="12" t="s">
        <v>17</v>
      </c>
      <c r="D10" s="32"/>
      <c r="E10" s="32"/>
    </row>
    <row r="11" spans="2:5" ht="27" thickBot="1" x14ac:dyDescent="0.35">
      <c r="B11" s="11" t="s">
        <v>18</v>
      </c>
      <c r="C11" s="13" t="s">
        <v>19</v>
      </c>
      <c r="D11" s="32"/>
      <c r="E11" s="32"/>
    </row>
    <row r="12" spans="2:5" ht="12" customHeight="1" x14ac:dyDescent="0.3">
      <c r="B12" s="32"/>
      <c r="C12" s="32"/>
      <c r="D12" s="32"/>
      <c r="E12" s="32"/>
    </row>
    <row r="13" spans="2:5" ht="18" customHeight="1" x14ac:dyDescent="0.3">
      <c r="B13" s="33" t="s">
        <v>20</v>
      </c>
      <c r="C13" s="32"/>
      <c r="D13" s="32"/>
      <c r="E13" s="32"/>
    </row>
    <row r="14" spans="2:5" ht="12" customHeight="1" x14ac:dyDescent="0.3">
      <c r="B14" s="32"/>
      <c r="C14" s="32"/>
      <c r="D14" s="32"/>
      <c r="E14" s="32"/>
    </row>
    <row r="15" spans="2:5" ht="18" customHeight="1" thickBot="1" x14ac:dyDescent="0.35">
      <c r="B15" s="33" t="s">
        <v>21</v>
      </c>
      <c r="C15" s="32"/>
      <c r="D15" s="32"/>
      <c r="E15" s="32"/>
    </row>
    <row r="16" spans="2:5" ht="15" customHeight="1" x14ac:dyDescent="0.3">
      <c r="B16" s="36" t="s">
        <v>29</v>
      </c>
      <c r="C16" s="37">
        <v>1</v>
      </c>
      <c r="D16" s="32"/>
      <c r="E16" s="32"/>
    </row>
    <row r="17" spans="2:5" ht="15" customHeight="1" x14ac:dyDescent="0.3">
      <c r="B17" s="38" t="s">
        <v>28</v>
      </c>
      <c r="C17" s="39">
        <v>2</v>
      </c>
      <c r="D17" s="32"/>
      <c r="E17" s="32"/>
    </row>
    <row r="18" spans="2:5" ht="15" customHeight="1" thickBot="1" x14ac:dyDescent="0.35">
      <c r="B18" s="40" t="s">
        <v>27</v>
      </c>
      <c r="C18" s="41">
        <v>3</v>
      </c>
      <c r="D18" s="32"/>
      <c r="E18" s="32"/>
    </row>
    <row r="19" spans="2:5" ht="12" customHeight="1" x14ac:dyDescent="0.3">
      <c r="B19" s="32"/>
      <c r="C19" s="32"/>
      <c r="D19" s="32"/>
      <c r="E19" s="32"/>
    </row>
    <row r="20" spans="2:5" ht="25.95" customHeight="1" x14ac:dyDescent="0.3">
      <c r="B20" s="45" t="s">
        <v>22</v>
      </c>
      <c r="C20" s="42"/>
      <c r="D20" s="42"/>
      <c r="E20" s="32"/>
    </row>
    <row r="21" spans="2:5" ht="18" customHeight="1" x14ac:dyDescent="0.3">
      <c r="B21" s="33" t="s">
        <v>23</v>
      </c>
      <c r="C21" s="32"/>
      <c r="D21" s="32"/>
      <c r="E21" s="32"/>
    </row>
    <row r="22" spans="2:5" ht="12" customHeight="1" thickBot="1" x14ac:dyDescent="0.35">
      <c r="B22" s="32"/>
      <c r="C22" s="32"/>
      <c r="D22" s="32"/>
      <c r="E22" s="32"/>
    </row>
    <row r="23" spans="2:5" ht="25.95" customHeight="1" x14ac:dyDescent="0.3">
      <c r="B23" s="46" t="s">
        <v>24</v>
      </c>
      <c r="C23" s="14" t="s">
        <v>2</v>
      </c>
      <c r="D23" s="14" t="s">
        <v>3</v>
      </c>
      <c r="E23" s="17" t="s">
        <v>4</v>
      </c>
    </row>
    <row r="24" spans="2:5" ht="25.95" customHeight="1" x14ac:dyDescent="0.3">
      <c r="B24" s="47" t="s">
        <v>4</v>
      </c>
      <c r="C24" s="5">
        <v>3</v>
      </c>
      <c r="D24" s="6">
        <v>6</v>
      </c>
      <c r="E24" s="18">
        <v>9</v>
      </c>
    </row>
    <row r="25" spans="2:5" ht="25.95" customHeight="1" x14ac:dyDescent="0.3">
      <c r="B25" s="47" t="s">
        <v>3</v>
      </c>
      <c r="C25" s="7">
        <v>2</v>
      </c>
      <c r="D25" s="5">
        <v>4</v>
      </c>
      <c r="E25" s="18">
        <v>6</v>
      </c>
    </row>
    <row r="26" spans="2:5" ht="25.95" customHeight="1" thickBot="1" x14ac:dyDescent="0.35">
      <c r="B26" s="48" t="s">
        <v>2</v>
      </c>
      <c r="C26" s="15">
        <v>1</v>
      </c>
      <c r="D26" s="15">
        <v>2</v>
      </c>
      <c r="E26" s="19">
        <v>3</v>
      </c>
    </row>
    <row r="27" spans="2:5" ht="12" customHeight="1" x14ac:dyDescent="0.3">
      <c r="B27" s="32"/>
      <c r="C27" s="32"/>
      <c r="D27" s="32"/>
      <c r="E27" s="32"/>
    </row>
    <row r="28" spans="2:5" ht="12" customHeight="1" x14ac:dyDescent="0.3">
      <c r="B28" s="32"/>
      <c r="C28" s="32"/>
      <c r="D28" s="32"/>
      <c r="E28" s="32"/>
    </row>
    <row r="29" spans="2:5" ht="25.95" customHeight="1" thickBot="1" x14ac:dyDescent="0.35">
      <c r="B29" s="45" t="s">
        <v>161</v>
      </c>
      <c r="C29" s="42"/>
      <c r="D29" s="42"/>
      <c r="E29" s="32"/>
    </row>
    <row r="30" spans="2:5" ht="25.95" customHeight="1" x14ac:dyDescent="0.3">
      <c r="B30" s="46" t="s">
        <v>24</v>
      </c>
      <c r="C30" s="14" t="s">
        <v>2</v>
      </c>
      <c r="D30" s="14" t="s">
        <v>3</v>
      </c>
      <c r="E30" s="17" t="s">
        <v>4</v>
      </c>
    </row>
    <row r="31" spans="2:5" ht="25.95" customHeight="1" x14ac:dyDescent="0.3">
      <c r="B31" s="47" t="s">
        <v>4</v>
      </c>
      <c r="C31" s="20">
        <f>COUNTIFS('Risk Register'!$F$3:$F$15,1,'Risk Register'!$G$3:$G$15,3)</f>
        <v>1</v>
      </c>
      <c r="D31" s="21">
        <f>COUNTIFS('Risk Register'!$F$3:$F$15,2,'Risk Register'!$G$3:$G$15,3)</f>
        <v>4</v>
      </c>
      <c r="E31" s="22">
        <f>COUNTIFS('Risk Register'!$F$3:$F$15,3,'Risk Register'!$G$3:$G$15,3)</f>
        <v>2</v>
      </c>
    </row>
    <row r="32" spans="2:5" ht="25.95" customHeight="1" x14ac:dyDescent="0.3">
      <c r="B32" s="47" t="s">
        <v>3</v>
      </c>
      <c r="C32" s="23">
        <f>COUNTIFS('Risk Register'!$F$3:$F$15,1,'Risk Register'!$G$3:$G$15,2)</f>
        <v>0</v>
      </c>
      <c r="D32" s="20">
        <f>COUNTIFS('Risk Register'!$F$3:$F$15,2,'Risk Register'!$G$3:$G$15,2)</f>
        <v>4</v>
      </c>
      <c r="E32" s="22">
        <f>COUNTIFS('Risk Register'!$F$3:$F$15,3,'Risk Register'!$G$3:$G$15,2)</f>
        <v>2</v>
      </c>
    </row>
    <row r="33" spans="2:5" ht="25.95" customHeight="1" thickBot="1" x14ac:dyDescent="0.35">
      <c r="B33" s="48" t="s">
        <v>2</v>
      </c>
      <c r="C33" s="24">
        <f>COUNTIFS('Risk Register'!$F$3:$F$15,1,'Risk Register'!$G$3:$G$15,1)</f>
        <v>0</v>
      </c>
      <c r="D33" s="24">
        <f>COUNTIFS('Risk Register'!$F$3:$F$15,2,'Risk Register'!$G$3:$G$15,1)</f>
        <v>0</v>
      </c>
      <c r="E33" s="25">
        <f>COUNTIFS('Risk Register'!$F$3:$F$15,3,'Risk Register'!$G$3:$G$15,1)</f>
        <v>0</v>
      </c>
    </row>
    <row r="34" spans="2:5" ht="12" customHeight="1" x14ac:dyDescent="0.3">
      <c r="B34" s="32"/>
      <c r="C34" s="32"/>
      <c r="D34" s="32"/>
      <c r="E34" s="32"/>
    </row>
    <row r="35" spans="2:5" ht="12" customHeight="1" thickBot="1" x14ac:dyDescent="0.35">
      <c r="B35" s="32"/>
      <c r="C35" s="32"/>
      <c r="D35" s="32"/>
      <c r="E35" s="32"/>
    </row>
    <row r="36" spans="2:5" ht="25.95" customHeight="1" x14ac:dyDescent="0.3">
      <c r="B36" s="16" t="s">
        <v>25</v>
      </c>
      <c r="C36" s="17" t="s">
        <v>26</v>
      </c>
      <c r="D36" s="32"/>
      <c r="E36" s="32"/>
    </row>
    <row r="37" spans="2:5" ht="25.95" customHeight="1" x14ac:dyDescent="0.3">
      <c r="B37" s="49" t="s">
        <v>27</v>
      </c>
      <c r="C37" s="50">
        <f>COUNTIF('Risk Register'!$I$3:$I$15,"High")</f>
        <v>8</v>
      </c>
      <c r="D37" s="32"/>
      <c r="E37" s="32"/>
    </row>
    <row r="38" spans="2:5" ht="25.95" customHeight="1" x14ac:dyDescent="0.3">
      <c r="B38" s="51" t="s">
        <v>28</v>
      </c>
      <c r="C38" s="50">
        <f>COUNTIF('Risk Register'!$I$3:$I$15,"Medium")</f>
        <v>5</v>
      </c>
      <c r="D38" s="32"/>
      <c r="E38" s="32"/>
    </row>
    <row r="39" spans="2:5" ht="25.95" customHeight="1" thickBot="1" x14ac:dyDescent="0.35">
      <c r="B39" s="52" t="s">
        <v>29</v>
      </c>
      <c r="C39" s="53">
        <f>COUNTIF('Risk Register'!$I$3:$I$15,"Low")</f>
        <v>0</v>
      </c>
      <c r="D39" s="32"/>
      <c r="E39" s="32"/>
    </row>
    <row r="40" spans="2:5" ht="25.95" customHeight="1" thickTop="1" thickBot="1" x14ac:dyDescent="0.35">
      <c r="B40" s="54" t="s">
        <v>30</v>
      </c>
      <c r="C40" s="55">
        <f>SUM(C37:C39)</f>
        <v>13</v>
      </c>
      <c r="D40" s="32"/>
      <c r="E40" s="32"/>
    </row>
  </sheetData>
  <mergeCells count="2">
    <mergeCell ref="B29:D29"/>
    <mergeCell ref="B20:D20"/>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86AB-788A-47F6-AA3B-5F154325A78F}">
  <sheetPr>
    <tabColor rgb="FF2F5597"/>
    <pageSetUpPr fitToPage="1"/>
  </sheetPr>
  <dimension ref="B1:P18"/>
  <sheetViews>
    <sheetView showGridLines="0" zoomScaleNormal="100" workbookViewId="0">
      <pane xSplit="2" ySplit="2" topLeftCell="C11" activePane="bottomRight" state="frozen"/>
      <selection pane="topRight" activeCell="B1" sqref="B1"/>
      <selection pane="bottomLeft" activeCell="A3" sqref="A3"/>
      <selection pane="bottomRight" activeCell="F6" sqref="F6"/>
    </sheetView>
  </sheetViews>
  <sheetFormatPr defaultColWidth="8.6640625" defaultRowHeight="14.4" x14ac:dyDescent="0.3"/>
  <cols>
    <col min="1" max="1" width="2.5546875" customWidth="1"/>
    <col min="2" max="2" width="10.77734375" customWidth="1"/>
    <col min="3" max="3" width="46.33203125" customWidth="1"/>
    <col min="4" max="4" width="55.5546875" customWidth="1"/>
    <col min="5" max="5" width="37" customWidth="1"/>
    <col min="6" max="8" width="11.44140625" customWidth="1"/>
    <col min="9" max="9" width="12.21875" customWidth="1"/>
    <col min="10" max="10" width="55.5546875" customWidth="1"/>
    <col min="11" max="11" width="46.33203125" customWidth="1"/>
    <col min="12" max="12" width="13.6640625" customWidth="1"/>
    <col min="13" max="13" width="11.88671875" customWidth="1"/>
    <col min="14" max="14" width="35.21875" customWidth="1"/>
    <col min="15" max="16" width="12" customWidth="1"/>
  </cols>
  <sheetData>
    <row r="1" spans="2:16" ht="30" customHeight="1" thickBot="1" x14ac:dyDescent="0.35">
      <c r="B1" s="58" t="s">
        <v>160</v>
      </c>
      <c r="C1" s="58"/>
    </row>
    <row r="2" spans="2:16" ht="34.049999999999997" customHeight="1" x14ac:dyDescent="0.3">
      <c r="B2" s="29" t="s">
        <v>31</v>
      </c>
      <c r="C2" s="28" t="s">
        <v>32</v>
      </c>
      <c r="D2" s="28" t="s">
        <v>33</v>
      </c>
      <c r="E2" s="28" t="s">
        <v>34</v>
      </c>
      <c r="F2" s="28" t="s">
        <v>35</v>
      </c>
      <c r="G2" s="28" t="s">
        <v>36</v>
      </c>
      <c r="H2" s="28" t="s">
        <v>37</v>
      </c>
      <c r="I2" s="28" t="s">
        <v>25</v>
      </c>
      <c r="J2" s="28" t="s">
        <v>38</v>
      </c>
      <c r="K2" s="28" t="s">
        <v>39</v>
      </c>
      <c r="L2" s="28" t="s">
        <v>40</v>
      </c>
      <c r="M2" s="28" t="s">
        <v>41</v>
      </c>
      <c r="N2" s="30" t="s">
        <v>42</v>
      </c>
      <c r="O2" s="26"/>
      <c r="P2" s="2"/>
    </row>
    <row r="3" spans="2:16" ht="118.8" x14ac:dyDescent="0.3">
      <c r="B3" s="65" t="s">
        <v>43</v>
      </c>
      <c r="C3" s="66" t="s">
        <v>44</v>
      </c>
      <c r="D3" s="66" t="s">
        <v>45</v>
      </c>
      <c r="E3" s="66" t="s">
        <v>46</v>
      </c>
      <c r="F3" s="67">
        <v>3</v>
      </c>
      <c r="G3" s="67">
        <v>3</v>
      </c>
      <c r="H3" s="68">
        <f t="shared" ref="H3:H15" si="0">F3*G3</f>
        <v>9</v>
      </c>
      <c r="I3" s="69" t="str">
        <f t="shared" ref="I3:I17" si="1">IF($H3="","",IF($H3&gt;=6,"High",IF($H3&gt;=3,"Medium","Low")))</f>
        <v>High</v>
      </c>
      <c r="J3" s="66" t="s">
        <v>47</v>
      </c>
      <c r="K3" s="66" t="s">
        <v>48</v>
      </c>
      <c r="L3" s="70" t="s">
        <v>49</v>
      </c>
      <c r="M3" s="70" t="s">
        <v>50</v>
      </c>
      <c r="N3" s="60" t="s">
        <v>51</v>
      </c>
      <c r="O3" s="27"/>
      <c r="P3" s="8"/>
    </row>
    <row r="4" spans="2:16" ht="79.2" x14ac:dyDescent="0.3">
      <c r="B4" s="71" t="s">
        <v>52</v>
      </c>
      <c r="C4" s="72" t="s">
        <v>53</v>
      </c>
      <c r="D4" s="72" t="s">
        <v>54</v>
      </c>
      <c r="E4" s="72" t="s">
        <v>55</v>
      </c>
      <c r="F4" s="73">
        <v>3</v>
      </c>
      <c r="G4" s="73">
        <v>3</v>
      </c>
      <c r="H4" s="74">
        <f t="shared" si="0"/>
        <v>9</v>
      </c>
      <c r="I4" s="69" t="str">
        <f t="shared" si="1"/>
        <v>High</v>
      </c>
      <c r="J4" s="72" t="s">
        <v>56</v>
      </c>
      <c r="K4" s="72" t="s">
        <v>57</v>
      </c>
      <c r="L4" s="75" t="s">
        <v>49</v>
      </c>
      <c r="M4" s="75" t="s">
        <v>50</v>
      </c>
      <c r="N4" s="62" t="s">
        <v>58</v>
      </c>
      <c r="O4" s="27"/>
      <c r="P4" s="8"/>
    </row>
    <row r="5" spans="2:16" ht="79.2" x14ac:dyDescent="0.3">
      <c r="B5" s="65" t="s">
        <v>59</v>
      </c>
      <c r="C5" s="66" t="s">
        <v>60</v>
      </c>
      <c r="D5" s="66" t="s">
        <v>61</v>
      </c>
      <c r="E5" s="66" t="s">
        <v>62</v>
      </c>
      <c r="F5" s="67">
        <v>3</v>
      </c>
      <c r="G5" s="67">
        <v>2</v>
      </c>
      <c r="H5" s="68">
        <f t="shared" si="0"/>
        <v>6</v>
      </c>
      <c r="I5" s="69" t="str">
        <f t="shared" si="1"/>
        <v>High</v>
      </c>
      <c r="J5" s="66" t="s">
        <v>63</v>
      </c>
      <c r="K5" s="66" t="s">
        <v>64</v>
      </c>
      <c r="L5" s="70" t="s">
        <v>65</v>
      </c>
      <c r="M5" s="70" t="s">
        <v>50</v>
      </c>
      <c r="N5" s="60" t="s">
        <v>66</v>
      </c>
      <c r="O5" s="27"/>
      <c r="P5" s="8"/>
    </row>
    <row r="6" spans="2:16" ht="79.2" x14ac:dyDescent="0.3">
      <c r="B6" s="71" t="s">
        <v>67</v>
      </c>
      <c r="C6" s="72" t="s">
        <v>68</v>
      </c>
      <c r="D6" s="72" t="s">
        <v>69</v>
      </c>
      <c r="E6" s="72" t="s">
        <v>70</v>
      </c>
      <c r="F6" s="73">
        <v>3</v>
      </c>
      <c r="G6" s="73">
        <v>2</v>
      </c>
      <c r="H6" s="74">
        <f t="shared" si="0"/>
        <v>6</v>
      </c>
      <c r="I6" s="69" t="str">
        <f t="shared" si="1"/>
        <v>High</v>
      </c>
      <c r="J6" s="72" t="s">
        <v>71</v>
      </c>
      <c r="K6" s="72" t="s">
        <v>72</v>
      </c>
      <c r="L6" s="75" t="s">
        <v>65</v>
      </c>
      <c r="M6" s="75" t="s">
        <v>50</v>
      </c>
      <c r="N6" s="62" t="s">
        <v>73</v>
      </c>
      <c r="O6" s="27"/>
      <c r="P6" s="8"/>
    </row>
    <row r="7" spans="2:16" ht="66" x14ac:dyDescent="0.3">
      <c r="B7" s="65" t="s">
        <v>74</v>
      </c>
      <c r="C7" s="66" t="s">
        <v>75</v>
      </c>
      <c r="D7" s="66" t="s">
        <v>76</v>
      </c>
      <c r="E7" s="66" t="s">
        <v>77</v>
      </c>
      <c r="F7" s="67">
        <v>2</v>
      </c>
      <c r="G7" s="67">
        <v>2</v>
      </c>
      <c r="H7" s="68">
        <f t="shared" si="0"/>
        <v>4</v>
      </c>
      <c r="I7" s="69" t="str">
        <f t="shared" si="1"/>
        <v>Medium</v>
      </c>
      <c r="J7" s="66" t="s">
        <v>78</v>
      </c>
      <c r="K7" s="66" t="s">
        <v>79</v>
      </c>
      <c r="L7" s="70" t="s">
        <v>65</v>
      </c>
      <c r="M7" s="70" t="s">
        <v>50</v>
      </c>
      <c r="N7" s="60" t="s">
        <v>80</v>
      </c>
      <c r="O7" s="27"/>
      <c r="P7" s="8"/>
    </row>
    <row r="8" spans="2:16" ht="66" x14ac:dyDescent="0.3">
      <c r="B8" s="71" t="s">
        <v>81</v>
      </c>
      <c r="C8" s="72" t="s">
        <v>82</v>
      </c>
      <c r="D8" s="72" t="s">
        <v>83</v>
      </c>
      <c r="E8" s="72" t="s">
        <v>84</v>
      </c>
      <c r="F8" s="73">
        <v>1</v>
      </c>
      <c r="G8" s="73">
        <v>3</v>
      </c>
      <c r="H8" s="74">
        <f t="shared" si="0"/>
        <v>3</v>
      </c>
      <c r="I8" s="69" t="str">
        <f t="shared" si="1"/>
        <v>Medium</v>
      </c>
      <c r="J8" s="72" t="s">
        <v>85</v>
      </c>
      <c r="K8" s="72" t="s">
        <v>86</v>
      </c>
      <c r="L8" s="75" t="s">
        <v>49</v>
      </c>
      <c r="M8" s="75" t="s">
        <v>50</v>
      </c>
      <c r="N8" s="62" t="s">
        <v>87</v>
      </c>
      <c r="O8" s="27"/>
      <c r="P8" s="8"/>
    </row>
    <row r="9" spans="2:16" ht="66" x14ac:dyDescent="0.3">
      <c r="B9" s="65" t="s">
        <v>88</v>
      </c>
      <c r="C9" s="66" t="s">
        <v>89</v>
      </c>
      <c r="D9" s="66" t="s">
        <v>90</v>
      </c>
      <c r="E9" s="66" t="s">
        <v>91</v>
      </c>
      <c r="F9" s="67">
        <v>2</v>
      </c>
      <c r="G9" s="67">
        <v>3</v>
      </c>
      <c r="H9" s="68">
        <f t="shared" si="0"/>
        <v>6</v>
      </c>
      <c r="I9" s="69" t="str">
        <f t="shared" si="1"/>
        <v>High</v>
      </c>
      <c r="J9" s="66" t="s">
        <v>92</v>
      </c>
      <c r="K9" s="66" t="s">
        <v>93</v>
      </c>
      <c r="L9" s="70" t="s">
        <v>49</v>
      </c>
      <c r="M9" s="70" t="s">
        <v>50</v>
      </c>
      <c r="N9" s="60" t="s">
        <v>94</v>
      </c>
      <c r="O9" s="27"/>
      <c r="P9" s="8"/>
    </row>
    <row r="10" spans="2:16" ht="79.2" x14ac:dyDescent="0.3">
      <c r="B10" s="71" t="s">
        <v>95</v>
      </c>
      <c r="C10" s="72" t="s">
        <v>96</v>
      </c>
      <c r="D10" s="72" t="s">
        <v>97</v>
      </c>
      <c r="E10" s="72" t="s">
        <v>98</v>
      </c>
      <c r="F10" s="73">
        <v>2</v>
      </c>
      <c r="G10" s="73">
        <v>3</v>
      </c>
      <c r="H10" s="74">
        <f t="shared" si="0"/>
        <v>6</v>
      </c>
      <c r="I10" s="69" t="str">
        <f t="shared" si="1"/>
        <v>High</v>
      </c>
      <c r="J10" s="72" t="s">
        <v>99</v>
      </c>
      <c r="K10" s="72" t="s">
        <v>100</v>
      </c>
      <c r="L10" s="75" t="s">
        <v>49</v>
      </c>
      <c r="M10" s="75" t="s">
        <v>50</v>
      </c>
      <c r="N10" s="62" t="s">
        <v>101</v>
      </c>
      <c r="O10" s="27"/>
      <c r="P10" s="8"/>
    </row>
    <row r="11" spans="2:16" ht="92.4" x14ac:dyDescent="0.3">
      <c r="B11" s="65" t="s">
        <v>102</v>
      </c>
      <c r="C11" s="66" t="s">
        <v>103</v>
      </c>
      <c r="D11" s="66" t="s">
        <v>104</v>
      </c>
      <c r="E11" s="66" t="s">
        <v>105</v>
      </c>
      <c r="F11" s="67">
        <v>2</v>
      </c>
      <c r="G11" s="67">
        <v>3</v>
      </c>
      <c r="H11" s="68">
        <f t="shared" si="0"/>
        <v>6</v>
      </c>
      <c r="I11" s="69" t="str">
        <f t="shared" si="1"/>
        <v>High</v>
      </c>
      <c r="J11" s="66" t="s">
        <v>106</v>
      </c>
      <c r="K11" s="66" t="s">
        <v>107</v>
      </c>
      <c r="L11" s="70" t="s">
        <v>65</v>
      </c>
      <c r="M11" s="70" t="s">
        <v>50</v>
      </c>
      <c r="N11" s="60" t="s">
        <v>108</v>
      </c>
      <c r="O11" s="27"/>
      <c r="P11" s="8"/>
    </row>
    <row r="12" spans="2:16" ht="66" x14ac:dyDescent="0.3">
      <c r="B12" s="71" t="s">
        <v>109</v>
      </c>
      <c r="C12" s="72" t="s">
        <v>110</v>
      </c>
      <c r="D12" s="72" t="s">
        <v>111</v>
      </c>
      <c r="E12" s="72" t="s">
        <v>112</v>
      </c>
      <c r="F12" s="73">
        <v>2</v>
      </c>
      <c r="G12" s="73">
        <v>2</v>
      </c>
      <c r="H12" s="74">
        <f t="shared" si="0"/>
        <v>4</v>
      </c>
      <c r="I12" s="69" t="str">
        <f t="shared" si="1"/>
        <v>Medium</v>
      </c>
      <c r="J12" s="72" t="s">
        <v>113</v>
      </c>
      <c r="K12" s="72" t="s">
        <v>114</v>
      </c>
      <c r="L12" s="75" t="s">
        <v>65</v>
      </c>
      <c r="M12" s="75" t="s">
        <v>50</v>
      </c>
      <c r="N12" s="62" t="s">
        <v>115</v>
      </c>
      <c r="O12" s="27"/>
      <c r="P12" s="8"/>
    </row>
    <row r="13" spans="2:16" ht="66" x14ac:dyDescent="0.3">
      <c r="B13" s="65" t="s">
        <v>116</v>
      </c>
      <c r="C13" s="66" t="s">
        <v>117</v>
      </c>
      <c r="D13" s="66" t="s">
        <v>118</v>
      </c>
      <c r="E13" s="66" t="s">
        <v>119</v>
      </c>
      <c r="F13" s="67">
        <v>2</v>
      </c>
      <c r="G13" s="67">
        <v>2</v>
      </c>
      <c r="H13" s="68">
        <f t="shared" si="0"/>
        <v>4</v>
      </c>
      <c r="I13" s="69" t="str">
        <f t="shared" si="1"/>
        <v>Medium</v>
      </c>
      <c r="J13" s="66" t="s">
        <v>120</v>
      </c>
      <c r="K13" s="66" t="s">
        <v>121</v>
      </c>
      <c r="L13" s="70" t="s">
        <v>65</v>
      </c>
      <c r="M13" s="70" t="s">
        <v>50</v>
      </c>
      <c r="N13" s="60" t="s">
        <v>122</v>
      </c>
      <c r="O13" s="27"/>
      <c r="P13" s="8"/>
    </row>
    <row r="14" spans="2:16" ht="66" x14ac:dyDescent="0.3">
      <c r="B14" s="71" t="s">
        <v>123</v>
      </c>
      <c r="C14" s="72" t="s">
        <v>124</v>
      </c>
      <c r="D14" s="72" t="s">
        <v>125</v>
      </c>
      <c r="E14" s="72" t="s">
        <v>126</v>
      </c>
      <c r="F14" s="73">
        <v>2</v>
      </c>
      <c r="G14" s="73">
        <v>3</v>
      </c>
      <c r="H14" s="74">
        <f t="shared" si="0"/>
        <v>6</v>
      </c>
      <c r="I14" s="69" t="str">
        <f t="shared" si="1"/>
        <v>High</v>
      </c>
      <c r="J14" s="72" t="s">
        <v>127</v>
      </c>
      <c r="K14" s="72" t="s">
        <v>128</v>
      </c>
      <c r="L14" s="75" t="s">
        <v>65</v>
      </c>
      <c r="M14" s="75" t="s">
        <v>50</v>
      </c>
      <c r="N14" s="62" t="s">
        <v>129</v>
      </c>
      <c r="O14" s="27"/>
      <c r="P14" s="8"/>
    </row>
    <row r="15" spans="2:16" ht="66" x14ac:dyDescent="0.3">
      <c r="B15" s="65" t="s">
        <v>130</v>
      </c>
      <c r="C15" s="66" t="s">
        <v>131</v>
      </c>
      <c r="D15" s="66" t="s">
        <v>132</v>
      </c>
      <c r="E15" s="66" t="s">
        <v>133</v>
      </c>
      <c r="F15" s="67">
        <v>2</v>
      </c>
      <c r="G15" s="67">
        <v>2</v>
      </c>
      <c r="H15" s="68">
        <f t="shared" si="0"/>
        <v>4</v>
      </c>
      <c r="I15" s="69" t="str">
        <f t="shared" si="1"/>
        <v>Medium</v>
      </c>
      <c r="J15" s="66" t="s">
        <v>134</v>
      </c>
      <c r="K15" s="66" t="s">
        <v>135</v>
      </c>
      <c r="L15" s="70" t="s">
        <v>136</v>
      </c>
      <c r="M15" s="70" t="s">
        <v>50</v>
      </c>
      <c r="N15" s="60" t="s">
        <v>137</v>
      </c>
      <c r="O15" s="27"/>
      <c r="P15" s="8"/>
    </row>
    <row r="16" spans="2:16" ht="66" x14ac:dyDescent="0.3">
      <c r="B16" s="71" t="s">
        <v>162</v>
      </c>
      <c r="C16" s="72" t="s">
        <v>164</v>
      </c>
      <c r="D16" s="72" t="s">
        <v>165</v>
      </c>
      <c r="E16" s="72" t="s">
        <v>166</v>
      </c>
      <c r="F16" s="73">
        <v>3</v>
      </c>
      <c r="G16" s="73">
        <v>3</v>
      </c>
      <c r="H16" s="74">
        <f t="shared" ref="H16:H17" si="2">F16*G16</f>
        <v>9</v>
      </c>
      <c r="I16" s="69" t="str">
        <f t="shared" si="1"/>
        <v>High</v>
      </c>
      <c r="J16" s="72" t="s">
        <v>167</v>
      </c>
      <c r="K16" s="72" t="s">
        <v>168</v>
      </c>
      <c r="L16" s="75" t="s">
        <v>65</v>
      </c>
      <c r="M16" s="75" t="s">
        <v>50</v>
      </c>
      <c r="N16" s="62" t="s">
        <v>169</v>
      </c>
      <c r="O16" s="27"/>
      <c r="P16" s="8"/>
    </row>
    <row r="17" spans="2:16" ht="66.599999999999994" thickBot="1" x14ac:dyDescent="0.35">
      <c r="B17" s="76" t="s">
        <v>163</v>
      </c>
      <c r="C17" s="77" t="s">
        <v>170</v>
      </c>
      <c r="D17" s="77" t="s">
        <v>171</v>
      </c>
      <c r="E17" s="77" t="s">
        <v>172</v>
      </c>
      <c r="F17" s="78">
        <v>2</v>
      </c>
      <c r="G17" s="78">
        <v>3</v>
      </c>
      <c r="H17" s="79">
        <f t="shared" ref="H17" si="3">F17*G17</f>
        <v>6</v>
      </c>
      <c r="I17" s="80" t="str">
        <f t="shared" si="1"/>
        <v>High</v>
      </c>
      <c r="J17" s="77" t="s">
        <v>173</v>
      </c>
      <c r="K17" s="77" t="s">
        <v>174</v>
      </c>
      <c r="L17" s="81" t="s">
        <v>49</v>
      </c>
      <c r="M17" s="81" t="s">
        <v>50</v>
      </c>
      <c r="N17" s="64" t="s">
        <v>175</v>
      </c>
      <c r="O17" s="27"/>
      <c r="P17" s="8"/>
    </row>
    <row r="18" spans="2:16" ht="15" customHeight="1" x14ac:dyDescent="0.3"/>
  </sheetData>
  <autoFilter ref="B2:P15" xr:uid="{00000000-0009-0000-0000-000001000000}"/>
  <mergeCells count="1">
    <mergeCell ref="B1:C1"/>
  </mergeCells>
  <conditionalFormatting sqref="I3:I17">
    <cfRule type="cellIs" dxfId="2" priority="1" operator="equal">
      <formula>"High"</formula>
    </cfRule>
    <cfRule type="cellIs" dxfId="1" priority="2" operator="equal">
      <formula>"Medium"</formula>
    </cfRule>
    <cfRule type="cellIs" dxfId="0" priority="3" operator="equal">
      <formula>"Low"</formula>
    </cfRule>
  </conditionalFormatting>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75A6-43F1-4C75-A705-0C1C3F2F386D}">
  <sheetPr>
    <tabColor rgb="FF2F5597"/>
    <pageSetUpPr fitToPage="1"/>
  </sheetPr>
  <dimension ref="B1:C15"/>
  <sheetViews>
    <sheetView showGridLines="0" tabSelected="1" zoomScale="85" zoomScaleNormal="85" workbookViewId="0">
      <pane ySplit="4" topLeftCell="A5" activePane="bottomLeft" state="frozen"/>
      <selection pane="bottomLeft" activeCell="J7" sqref="J7"/>
    </sheetView>
  </sheetViews>
  <sheetFormatPr defaultColWidth="8.6640625" defaultRowHeight="14.4" x14ac:dyDescent="0.3"/>
  <cols>
    <col min="1" max="1" width="2.5546875" customWidth="1"/>
    <col min="2" max="2" width="42.5546875" customWidth="1"/>
    <col min="3" max="3" width="114.77734375" customWidth="1"/>
  </cols>
  <sheetData>
    <row r="1" spans="2:3" ht="30" customHeight="1" x14ac:dyDescent="0.3">
      <c r="B1" s="43" t="s">
        <v>138</v>
      </c>
      <c r="C1" s="31"/>
    </row>
    <row r="2" spans="2:3" ht="12" customHeight="1" x14ac:dyDescent="0.3">
      <c r="B2" s="1"/>
      <c r="C2" s="31"/>
    </row>
    <row r="3" spans="2:3" ht="12" customHeight="1" thickBot="1" x14ac:dyDescent="0.35">
      <c r="B3" s="31"/>
      <c r="C3" s="31"/>
    </row>
    <row r="4" spans="2:3" ht="24" customHeight="1" x14ac:dyDescent="0.3">
      <c r="B4" s="56" t="s">
        <v>139</v>
      </c>
      <c r="C4" s="57" t="s">
        <v>140</v>
      </c>
    </row>
    <row r="5" spans="2:3" ht="26.4" x14ac:dyDescent="0.3">
      <c r="B5" s="59" t="s">
        <v>141</v>
      </c>
      <c r="C5" s="60" t="s">
        <v>142</v>
      </c>
    </row>
    <row r="6" spans="2:3" ht="92.4" x14ac:dyDescent="0.3">
      <c r="B6" s="61" t="s">
        <v>143</v>
      </c>
      <c r="C6" s="62" t="s">
        <v>144</v>
      </c>
    </row>
    <row r="7" spans="2:3" ht="52.8" x14ac:dyDescent="0.3">
      <c r="B7" s="59" t="s">
        <v>145</v>
      </c>
      <c r="C7" s="60" t="s">
        <v>146</v>
      </c>
    </row>
    <row r="8" spans="2:3" ht="26.4" x14ac:dyDescent="0.3">
      <c r="B8" s="61" t="s">
        <v>34</v>
      </c>
      <c r="C8" s="62" t="s">
        <v>147</v>
      </c>
    </row>
    <row r="9" spans="2:3" ht="39.6" x14ac:dyDescent="0.3">
      <c r="B9" s="59" t="s">
        <v>148</v>
      </c>
      <c r="C9" s="60" t="s">
        <v>149</v>
      </c>
    </row>
    <row r="10" spans="2:3" ht="52.8" x14ac:dyDescent="0.3">
      <c r="B10" s="61" t="s">
        <v>150</v>
      </c>
      <c r="C10" s="62" t="s">
        <v>151</v>
      </c>
    </row>
    <row r="11" spans="2:3" x14ac:dyDescent="0.3">
      <c r="B11" s="59"/>
      <c r="C11" s="60"/>
    </row>
    <row r="12" spans="2:3" ht="39.6" x14ac:dyDescent="0.3">
      <c r="B12" s="61" t="s">
        <v>152</v>
      </c>
      <c r="C12" s="62" t="s">
        <v>153</v>
      </c>
    </row>
    <row r="13" spans="2:3" ht="39.6" x14ac:dyDescent="0.3">
      <c r="B13" s="59" t="s">
        <v>154</v>
      </c>
      <c r="C13" s="60" t="s">
        <v>155</v>
      </c>
    </row>
    <row r="14" spans="2:3" ht="39.6" x14ac:dyDescent="0.3">
      <c r="B14" s="61" t="s">
        <v>156</v>
      </c>
      <c r="C14" s="62" t="s">
        <v>157</v>
      </c>
    </row>
    <row r="15" spans="2:3" ht="40.200000000000003" thickBot="1" x14ac:dyDescent="0.35">
      <c r="B15" s="63" t="s">
        <v>158</v>
      </c>
      <c r="C15" s="64" t="s">
        <v>159</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Risk Method</vt:lpstr>
      <vt:lpstr>Risk Register</vt:lpstr>
      <vt:lpstr>Defence Prep</vt:lpstr>
      <vt:lpstr>'Risk Register'!Print_Titles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Christiaan Burger</dc:creator>
  <cp:lastModifiedBy>ethan lindsay</cp:lastModifiedBy>
  <dcterms:created xsi:type="dcterms:W3CDTF">2026-09-08T21:17:47Z</dcterms:created>
  <dcterms:modified xsi:type="dcterms:W3CDTF">2026-09-09T20:06:18Z</dcterms:modified>
</cp:coreProperties>
</file>