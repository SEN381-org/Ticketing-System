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30936" windowHeight="17496" tabRatio="600" firstSheet="0" activeTab="2" autoFilterDateGrouping="1"/>
  </bookViews>
  <sheets>
    <sheet name="Risk Method" sheetId="1" state="visible" r:id="rId1"/>
    <sheet name="Risk Register" sheetId="2" state="visible" r:id="rId2"/>
    <sheet name="Defence Prep" sheetId="3" state="visible" r:id="rId3"/>
  </sheets>
  <definedNames>
    <definedName name="_xlnm._FilterDatabase" localSheetId="1" hidden="1">'Risk Register'!$B$2:$P$23</definedName>
    <definedName name="_xlnm.Print_Titles" localSheetId="1">'Risk Register'!$2:$2</definedName>
  </definedNames>
  <calcPr calcId="191029" fullCalcOnLoad="1"/>
</workbook>
</file>

<file path=xl/styles.xml><?xml version="1.0" encoding="utf-8"?>
<styleSheet xmlns="http://schemas.openxmlformats.org/spreadsheetml/2006/main">
  <numFmts count="0"/>
  <fonts count="12">
    <font>
      <name val="Calibri"/>
      <charset val="1"/>
      <family val="2"/>
      <color theme="1"/>
      <sz val="11"/>
    </font>
    <font>
      <name val="Arial"/>
      <family val="2"/>
      <b val="1"/>
      <color rgb="FF1F3864"/>
      <sz val="14"/>
    </font>
    <font>
      <name val="Arial"/>
      <family val="2"/>
      <i val="1"/>
      <color rgb="FF595959"/>
      <sz val="9"/>
    </font>
    <font>
      <name val="Arial"/>
      <family val="2"/>
      <b val="1"/>
      <color rgb="FFFFFFFF"/>
      <sz val="10"/>
    </font>
    <font>
      <name val="Arial"/>
      <family val="2"/>
      <b val="1"/>
      <sz val="10"/>
    </font>
    <font>
      <name val="Arial"/>
      <family val="2"/>
      <sz val="10"/>
    </font>
    <font>
      <name val="Arial"/>
      <family val="2"/>
      <b val="1"/>
      <sz val="14"/>
    </font>
    <font>
      <name val="Arial"/>
      <family val="2"/>
      <b val="1"/>
      <sz val="11"/>
    </font>
    <font>
      <name val="Arial"/>
      <family val="2"/>
      <color theme="1"/>
      <sz val="11"/>
    </font>
    <font>
      <name val="Arial"/>
      <family val="2"/>
      <b val="1"/>
      <color rgb="FF1F3864"/>
      <sz val="12"/>
    </font>
    <font>
      <name val="Arial"/>
      <family val="2"/>
      <b val="1"/>
      <color rgb="FF000000"/>
      <sz val="10"/>
    </font>
    <font>
      <name val="Arial"/>
      <family val="2"/>
      <color rgb="FF000000"/>
      <sz val="10"/>
    </font>
  </fonts>
  <fills count="14">
    <fill>
      <patternFill/>
    </fill>
    <fill>
      <patternFill patternType="gray125"/>
    </fill>
    <fill>
      <patternFill patternType="solid">
        <fgColor rgb="FF2F5597"/>
        <bgColor rgb="FF1F3864"/>
      </patternFill>
    </fill>
    <fill>
      <patternFill patternType="solid">
        <fgColor rgb="FFC6E0B4"/>
        <bgColor rgb="FFBFBFBF"/>
      </patternFill>
    </fill>
    <fill>
      <patternFill patternType="solid">
        <fgColor rgb="FFFFE699"/>
        <bgColor rgb="FFFFF2CC"/>
      </patternFill>
    </fill>
    <fill>
      <patternFill patternType="solid">
        <fgColor rgb="FFF8CBAD"/>
        <bgColor rgb="FFFFE699"/>
      </patternFill>
    </fill>
    <fill>
      <patternFill patternType="solid">
        <fgColor rgb="FFFFF2CC"/>
        <bgColor rgb="FFFFE699"/>
      </patternFill>
    </fill>
    <fill>
      <patternFill patternType="solid">
        <fgColor rgb="FFFFE699"/>
        <bgColor indexed="64"/>
      </patternFill>
    </fill>
    <fill>
      <patternFill patternType="solid">
        <fgColor rgb="FFF8CBAD"/>
        <bgColor indexed="64"/>
      </patternFill>
    </fill>
    <fill>
      <patternFill patternType="solid">
        <fgColor rgb="FFC6E0B4"/>
        <bgColor indexed="64"/>
      </patternFill>
    </fill>
    <fill>
      <patternFill patternType="solid">
        <fgColor rgb="FFD9E1F2"/>
        <bgColor indexed="64"/>
      </patternFill>
    </fill>
    <fill>
      <patternFill patternType="solid">
        <fgColor rgb="FF2F5597"/>
        <bgColor indexed="64"/>
      </patternFill>
    </fill>
    <fill>
      <patternFill patternType="solid">
        <fgColor rgb="FFFFFFFF"/>
        <bgColor indexed="64"/>
      </patternFill>
    </fill>
    <fill>
      <patternFill patternType="solid">
        <fgColor rgb="FFF2F5FA"/>
        <bgColor indexed="64"/>
      </patternFill>
    </fill>
  </fills>
  <borders count="30">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7F7F7F"/>
      </bottom>
      <diagonal/>
    </border>
    <border>
      <left style="medium">
        <color rgb="FF7F7F7F"/>
      </left>
      <right/>
      <top style="medium">
        <color rgb="FF7F7F7F"/>
      </top>
      <bottom/>
      <diagonal/>
    </border>
    <border>
      <left style="medium">
        <color rgb="FF7F7F7F"/>
      </left>
      <right style="thin">
        <color rgb="FFBFBFBF"/>
      </right>
      <top style="thin">
        <color rgb="FFBFBFBF"/>
      </top>
      <bottom style="thin">
        <color rgb="FFBFBFBF"/>
      </bottom>
      <diagonal/>
    </border>
    <border>
      <left style="medium">
        <color rgb="FF7F7F7F"/>
      </left>
      <right style="thin">
        <color rgb="FFBFBFBF"/>
      </right>
      <top style="thin">
        <color rgb="FFBFBFBF"/>
      </top>
      <bottom style="medium">
        <color rgb="FF7F7F7F"/>
      </bottom>
      <diagonal/>
    </border>
    <border>
      <left/>
      <right style="medium">
        <color rgb="FF7F7F7F"/>
      </right>
      <top style="medium">
        <color rgb="FF7F7F7F"/>
      </top>
      <bottom/>
      <diagonal/>
    </border>
    <border>
      <left style="thin">
        <color rgb="FFBFBFBF"/>
      </left>
      <right style="medium">
        <color rgb="FF7F7F7F"/>
      </right>
      <top style="thin">
        <color rgb="FFBFBFBF"/>
      </top>
      <bottom style="thin">
        <color rgb="FFBFBFBF"/>
      </bottom>
      <diagonal/>
    </border>
    <border>
      <left style="thin">
        <color rgb="FFBFBFBF"/>
      </left>
      <right style="medium">
        <color rgb="FF7F7F7F"/>
      </right>
      <top style="thin">
        <color rgb="FFBFBFBF"/>
      </top>
      <bottom style="medium">
        <color rgb="FF7F7F7F"/>
      </bottom>
      <diagonal/>
    </border>
    <border>
      <left style="medium">
        <color rgb="FF7F7F7F"/>
      </left>
      <right/>
      <top/>
      <bottom/>
      <diagonal/>
    </border>
    <border>
      <left style="medium">
        <color rgb="FF7F7F7F"/>
      </left>
      <right/>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thin">
        <color rgb="FFBFBFBF"/>
      </left>
      <right style="thin">
        <color rgb="FFBFBFBF"/>
      </right>
      <top style="medium">
        <color rgb="FF7F7F7F"/>
      </top>
      <bottom style="thin">
        <color rgb="FFBFBFBF"/>
      </bottom>
      <diagonal/>
    </border>
    <border>
      <left style="medium">
        <color rgb="FF7F7F7F"/>
      </left>
      <right style="thin">
        <color rgb="FFBFBFBF"/>
      </right>
      <top style="medium">
        <color rgb="FF7F7F7F"/>
      </top>
      <bottom style="thin">
        <color rgb="FFBFBFBF"/>
      </bottom>
      <diagonal/>
    </border>
    <border>
      <left style="thin">
        <color rgb="FFBFBFBF"/>
      </left>
      <right style="medium">
        <color rgb="FF7F7F7F"/>
      </right>
      <top style="medium">
        <color rgb="FF7F7F7F"/>
      </top>
      <bottom style="thin">
        <color rgb="FFBFBFBF"/>
      </bottom>
      <diagonal/>
    </border>
    <border>
      <left style="medium">
        <color rgb="FF7F7F7F"/>
      </left>
      <right style="thin">
        <color rgb="FFBFBFBF"/>
      </right>
      <top style="thin">
        <color rgb="FFBFBFBF"/>
      </top>
      <bottom/>
      <diagonal/>
    </border>
    <border>
      <left style="medium">
        <color rgb="FF7F7F7F"/>
      </left>
      <right style="thin">
        <color rgb="FFBFBFBF"/>
      </right>
      <top style="double">
        <color rgb="FF7F7F7F"/>
      </top>
      <bottom style="medium">
        <color rgb="FF7F7F7F"/>
      </bottom>
      <diagonal/>
    </border>
    <border>
      <left style="thin">
        <color rgb="FFBFBFBF"/>
      </left>
      <right style="medium">
        <color rgb="FF7F7F7F"/>
      </right>
      <top style="thin">
        <color rgb="FFBFBFBF"/>
      </top>
      <bottom/>
      <diagonal/>
    </border>
    <border>
      <left style="thin">
        <color rgb="FFBFBFBF"/>
      </left>
      <right style="medium">
        <color rgb="FF7F7F7F"/>
      </right>
      <top style="double">
        <color rgb="FF7F7F7F"/>
      </top>
      <bottom style="medium">
        <color rgb="FF7F7F7F"/>
      </bottom>
      <diagonal/>
    </border>
    <border>
      <left/>
      <right style="thin">
        <color rgb="FFBFBFBF"/>
      </right>
      <top style="thin">
        <color rgb="FFBFBFBF"/>
      </top>
      <bottom style="thin">
        <color rgb="FFBFBFBF"/>
      </bottom>
      <diagonal/>
    </border>
    <border>
      <left style="thin">
        <color rgb="FFBFBFBF"/>
      </left>
      <right style="thin">
        <color rgb="FFBFBFBF"/>
      </right>
      <top style="medium">
        <color rgb="FF2F5597"/>
      </top>
      <bottom style="thin">
        <color rgb="FFBFBFBF"/>
      </bottom>
      <diagonal/>
    </border>
    <border>
      <left style="thin">
        <color rgb="FFBFBFBF"/>
      </left>
      <right style="thin">
        <color rgb="FFBFBFBF"/>
      </right>
      <top style="thin">
        <color rgb="FFBFBFBF"/>
      </top>
      <bottom style="medium">
        <color rgb="FF2F5597"/>
      </bottom>
      <diagonal/>
    </border>
    <border>
      <left style="medium">
        <color rgb="FF2F5597"/>
      </left>
      <right style="thin">
        <color rgb="FFBFBFBF"/>
      </right>
      <top style="medium">
        <color rgb="FF2F5597"/>
      </top>
      <bottom style="thin">
        <color rgb="FFBFBFBF"/>
      </bottom>
      <diagonal/>
    </border>
    <border>
      <left style="medium">
        <color rgb="FF2F5597"/>
      </left>
      <right style="thin">
        <color rgb="FFBFBFBF"/>
      </right>
      <top style="thin">
        <color rgb="FFBFBFBF"/>
      </top>
      <bottom style="thin">
        <color rgb="FFBFBFBF"/>
      </bottom>
      <diagonal/>
    </border>
    <border>
      <left style="medium">
        <color rgb="FF2F5597"/>
      </left>
      <right style="thin">
        <color rgb="FFBFBFBF"/>
      </right>
      <top style="thin">
        <color rgb="FFBFBFBF"/>
      </top>
      <bottom style="medium">
        <color rgb="FF2F5597"/>
      </bottom>
      <diagonal/>
    </border>
    <border>
      <left style="thin">
        <color rgb="FFBFBFBF"/>
      </left>
      <right style="medium">
        <color rgb="FF2F5597"/>
      </right>
      <top style="medium">
        <color rgb="FF2F5597"/>
      </top>
      <bottom style="thin">
        <color rgb="FFBFBFBF"/>
      </bottom>
      <diagonal/>
    </border>
    <border>
      <left style="thin">
        <color rgb="FFBFBFBF"/>
      </left>
      <right style="medium">
        <color rgb="FF2F5597"/>
      </right>
      <top style="thin">
        <color rgb="FFBFBFBF"/>
      </top>
      <bottom style="thin">
        <color rgb="FFBFBFBF"/>
      </bottom>
      <diagonal/>
    </border>
    <border>
      <left style="thin">
        <color rgb="FFBFBFBF"/>
      </left>
      <right style="medium">
        <color rgb="FF2F5597"/>
      </right>
      <top style="thin">
        <color rgb="FFBFBFBF"/>
      </top>
      <bottom style="medium">
        <color rgb="FF2F5597"/>
      </bottom>
      <diagonal/>
    </border>
    <border>
      <left/>
      <right/>
      <top/>
      <bottom style="medium">
        <color rgb="FF2F5597"/>
      </bottom>
      <diagonal/>
    </border>
  </borders>
  <cellStyleXfs count="1">
    <xf numFmtId="0" fontId="0" fillId="0" borderId="0"/>
  </cellStyleXfs>
  <cellXfs count="83">
    <xf numFmtId="0" fontId="0"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3" borderId="1" applyAlignment="1" pivotButton="0" quotePrefix="0" xfId="0">
      <alignment horizontal="center" vertical="center"/>
    </xf>
    <xf numFmtId="0" fontId="5" fillId="6" borderId="1" applyAlignment="1" pivotButton="0" quotePrefix="0" xfId="0">
      <alignment vertical="top" wrapText="1"/>
    </xf>
    <xf numFmtId="0" fontId="4" fillId="3" borderId="4" applyAlignment="1" pivotButton="0" quotePrefix="0" xfId="0">
      <alignment horizontal="center" vertical="center" wrapText="1"/>
    </xf>
    <xf numFmtId="0" fontId="4" fillId="4" borderId="4" applyAlignment="1" pivotButton="0" quotePrefix="0" xfId="0">
      <alignment horizontal="center" vertical="center" wrapText="1"/>
    </xf>
    <xf numFmtId="0" fontId="4" fillId="5" borderId="5" applyAlignment="1" pivotButton="0" quotePrefix="0" xfId="0">
      <alignment horizontal="center" vertical="center" wrapText="1"/>
    </xf>
    <xf numFmtId="0" fontId="5" fillId="0" borderId="7" applyAlignment="1" pivotButton="0" quotePrefix="0" xfId="0">
      <alignment vertical="center" wrapText="1"/>
    </xf>
    <xf numFmtId="0" fontId="5" fillId="0" borderId="8" applyAlignment="1" pivotButton="0" quotePrefix="0" xfId="0">
      <alignment vertical="center" wrapText="1"/>
    </xf>
    <xf numFmtId="0" fontId="3" fillId="2" borderId="13" applyAlignment="1" pivotButton="0" quotePrefix="0" xfId="0">
      <alignment horizontal="center" vertical="center" wrapText="1"/>
    </xf>
    <xf numFmtId="0" fontId="6" fillId="3" borderId="2" applyAlignment="1" pivotButton="0" quotePrefix="0" xfId="0">
      <alignment horizontal="center" vertical="center"/>
    </xf>
    <xf numFmtId="0" fontId="3" fillId="2" borderId="14" applyAlignment="1" pivotButton="0" quotePrefix="0" xfId="0">
      <alignment horizontal="left" vertical="center" wrapText="1"/>
    </xf>
    <xf numFmtId="0" fontId="3" fillId="2" borderId="15" applyAlignment="1" pivotButton="0" quotePrefix="0" xfId="0">
      <alignment horizontal="center" vertical="center" wrapText="1"/>
    </xf>
    <xf numFmtId="0" fontId="6" fillId="5" borderId="7" applyAlignment="1" pivotButton="0" quotePrefix="0" xfId="0">
      <alignment horizontal="center" vertical="center"/>
    </xf>
    <xf numFmtId="0" fontId="6" fillId="4" borderId="8" applyAlignment="1" pivotButton="0" quotePrefix="0" xfId="0">
      <alignment horizontal="center" vertical="center"/>
    </xf>
    <xf numFmtId="1" fontId="6" fillId="7" borderId="1" applyAlignment="1" pivotButton="0" quotePrefix="0" xfId="0">
      <alignment horizontal="center" vertical="center"/>
    </xf>
    <xf numFmtId="1" fontId="6" fillId="8" borderId="1" applyAlignment="1" pivotButton="0" quotePrefix="0" xfId="0">
      <alignment horizontal="center" vertical="center"/>
    </xf>
    <xf numFmtId="1" fontId="6" fillId="8" borderId="7" applyAlignment="1" pivotButton="0" quotePrefix="0" xfId="0">
      <alignment horizontal="center" vertical="center"/>
    </xf>
    <xf numFmtId="1" fontId="6" fillId="9" borderId="1" applyAlignment="1" pivotButton="0" quotePrefix="0" xfId="0">
      <alignment horizontal="center" vertical="center"/>
    </xf>
    <xf numFmtId="1" fontId="6" fillId="9" borderId="2" applyAlignment="1" pivotButton="0" quotePrefix="0" xfId="0">
      <alignment horizontal="center" vertical="center"/>
    </xf>
    <xf numFmtId="1" fontId="6" fillId="7" borderId="8" applyAlignment="1" pivotButton="0" quotePrefix="0" xfId="0">
      <alignment horizontal="center" vertical="center"/>
    </xf>
    <xf numFmtId="0" fontId="3" fillId="2" borderId="20" applyAlignment="1" pivotButton="0" quotePrefix="0" xfId="0">
      <alignment horizontal="left" vertical="center" wrapText="1"/>
    </xf>
    <xf numFmtId="0" fontId="5" fillId="6" borderId="20" applyAlignment="1" pivotButton="0" quotePrefix="0" xfId="0">
      <alignment vertical="top" wrapText="1"/>
    </xf>
    <xf numFmtId="0" fontId="3" fillId="11" borderId="21" applyAlignment="1" pivotButton="0" quotePrefix="0" xfId="0">
      <alignment horizontal="center" vertical="center" wrapText="1"/>
    </xf>
    <xf numFmtId="0" fontId="3" fillId="11" borderId="23" applyAlignment="1" pivotButton="0" quotePrefix="0" xfId="0">
      <alignment horizontal="center" vertical="center" wrapText="1"/>
    </xf>
    <xf numFmtId="0" fontId="3" fillId="11" borderId="26" applyAlignment="1" pivotButton="0" quotePrefix="0" xfId="0">
      <alignment horizontal="center" vertical="center" wrapText="1"/>
    </xf>
    <xf numFmtId="0" fontId="8" fillId="0" borderId="0" pivotButton="0" quotePrefix="0" xfId="0"/>
    <xf numFmtId="0" fontId="8" fillId="0" borderId="0" applyAlignment="1" pivotButton="0" quotePrefix="0" xfId="0">
      <alignment vertical="top"/>
    </xf>
    <xf numFmtId="0" fontId="2" fillId="0" borderId="0" applyAlignment="1" pivotButton="0" quotePrefix="0" xfId="0">
      <alignment vertical="top"/>
    </xf>
    <xf numFmtId="0" fontId="3" fillId="2" borderId="1" applyAlignment="1" pivotButton="0" quotePrefix="0" xfId="0">
      <alignment horizontal="left" vertical="top" wrapText="1"/>
    </xf>
    <xf numFmtId="0" fontId="8" fillId="0" borderId="6" applyAlignment="1" pivotButton="0" quotePrefix="0" xfId="0">
      <alignment vertical="top"/>
    </xf>
    <xf numFmtId="0" fontId="5" fillId="0" borderId="3" applyAlignment="1" pivotButton="0" quotePrefix="0" xfId="0">
      <alignment horizontal="left" vertical="top"/>
    </xf>
    <xf numFmtId="0" fontId="4" fillId="0" borderId="6" applyAlignment="1" pivotButton="0" quotePrefix="0" xfId="0">
      <alignment horizontal="center" vertical="top"/>
    </xf>
    <xf numFmtId="0" fontId="5" fillId="0" borderId="9" applyAlignment="1" pivotButton="0" quotePrefix="0" xfId="0">
      <alignment horizontal="left" vertical="top"/>
    </xf>
    <xf numFmtId="0" fontId="4" fillId="0" borderId="11" applyAlignment="1" pivotButton="0" quotePrefix="0" xfId="0">
      <alignment horizontal="center" vertical="top"/>
    </xf>
    <xf numFmtId="0" fontId="5" fillId="0" borderId="10" applyAlignment="1" pivotButton="0" quotePrefix="0" xfId="0">
      <alignment horizontal="left" vertical="top"/>
    </xf>
    <xf numFmtId="0" fontId="4" fillId="0" borderId="12" applyAlignment="1" pivotButton="0" quotePrefix="0" xfId="0">
      <alignment horizontal="center" vertical="top"/>
    </xf>
    <xf numFmtId="0" fontId="1" fillId="0" borderId="0" applyAlignment="1" pivotButton="0" quotePrefix="0" xfId="0">
      <alignment horizontal="center" vertical="top"/>
    </xf>
    <xf numFmtId="0" fontId="1" fillId="0" borderId="0" applyAlignment="1" pivotButton="0" quotePrefix="0" xfId="0">
      <alignment vertical="center"/>
    </xf>
    <xf numFmtId="0" fontId="9" fillId="0" borderId="3" applyAlignment="1" pivotButton="0" quotePrefix="0" xfId="0">
      <alignment horizontal="left" vertical="center"/>
    </xf>
    <xf numFmtId="0" fontId="9" fillId="0" borderId="0" applyAlignment="1" pivotButton="0" quotePrefix="0" xfId="0">
      <alignment horizontal="left" vertical="center"/>
    </xf>
    <xf numFmtId="0" fontId="3" fillId="2" borderId="14" applyAlignment="1" pivotButton="0" quotePrefix="0" xfId="0">
      <alignment horizontal="center" vertical="center" wrapText="1"/>
    </xf>
    <xf numFmtId="0" fontId="3" fillId="2" borderId="4" applyAlignment="1" pivotButton="0" quotePrefix="0" xfId="0">
      <alignment horizontal="center" vertical="center" indent="1"/>
    </xf>
    <xf numFmtId="0" fontId="3" fillId="2" borderId="5" applyAlignment="1" pivotButton="0" quotePrefix="0" xfId="0">
      <alignment horizontal="center" vertical="center" indent="1"/>
    </xf>
    <xf numFmtId="0" fontId="4" fillId="5" borderId="4" applyAlignment="1" pivotButton="0" quotePrefix="0" xfId="0">
      <alignment horizontal="left" vertical="center"/>
    </xf>
    <xf numFmtId="0" fontId="7" fillId="0" borderId="7" applyAlignment="1" pivotButton="0" quotePrefix="0" xfId="0">
      <alignment horizontal="center" vertical="center"/>
    </xf>
    <xf numFmtId="0" fontId="4" fillId="4" borderId="4" applyAlignment="1" pivotButton="0" quotePrefix="0" xfId="0">
      <alignment horizontal="left" vertical="center"/>
    </xf>
    <xf numFmtId="0" fontId="4" fillId="3" borderId="16" applyAlignment="1" pivotButton="0" quotePrefix="0" xfId="0">
      <alignment horizontal="left" vertical="center"/>
    </xf>
    <xf numFmtId="0" fontId="7" fillId="0" borderId="18" applyAlignment="1" pivotButton="0" quotePrefix="0" xfId="0">
      <alignment horizontal="center" vertical="center"/>
    </xf>
    <xf numFmtId="0" fontId="4" fillId="10" borderId="17" applyAlignment="1" pivotButton="0" quotePrefix="0" xfId="0">
      <alignment vertical="center"/>
    </xf>
    <xf numFmtId="0" fontId="7" fillId="10" borderId="19" applyAlignment="1" pivotButton="0" quotePrefix="0" xfId="0">
      <alignment horizontal="center" vertical="center"/>
    </xf>
    <xf numFmtId="0" fontId="3" fillId="11" borderId="23" applyAlignment="1" pivotButton="0" quotePrefix="0" xfId="0">
      <alignment horizontal="left" vertical="center" wrapText="1"/>
    </xf>
    <xf numFmtId="0" fontId="3" fillId="11" borderId="26" applyAlignment="1" pivotButton="0" quotePrefix="0" xfId="0">
      <alignment horizontal="left" vertical="center" wrapText="1"/>
    </xf>
    <xf numFmtId="0" fontId="1" fillId="0" borderId="29" applyAlignment="1" pivotButton="0" quotePrefix="0" xfId="0">
      <alignment horizontal="left" vertical="center"/>
    </xf>
    <xf numFmtId="0" fontId="10" fillId="0" borderId="24" applyAlignment="1" pivotButton="0" quotePrefix="0" xfId="0">
      <alignment vertical="top" wrapText="1"/>
    </xf>
    <xf numFmtId="0" fontId="11" fillId="12" borderId="27" applyAlignment="1" pivotButton="0" quotePrefix="0" xfId="0">
      <alignment vertical="top" wrapText="1"/>
    </xf>
    <xf numFmtId="0" fontId="10" fillId="13" borderId="24" applyAlignment="1" pivotButton="0" quotePrefix="0" xfId="0">
      <alignment vertical="top" wrapText="1"/>
    </xf>
    <xf numFmtId="0" fontId="11" fillId="13" borderId="27" applyAlignment="1" pivotButton="0" quotePrefix="0" xfId="0">
      <alignment vertical="top" wrapText="1"/>
    </xf>
    <xf numFmtId="0" fontId="10" fillId="0" borderId="25" applyAlignment="1" pivotButton="0" quotePrefix="0" xfId="0">
      <alignment vertical="top" wrapText="1"/>
    </xf>
    <xf numFmtId="0" fontId="11" fillId="12" borderId="28" applyAlignment="1" pivotButton="0" quotePrefix="0" xfId="0">
      <alignment vertical="top" wrapText="1"/>
    </xf>
    <xf numFmtId="0" fontId="10" fillId="12" borderId="24" applyAlignment="1" pivotButton="0" quotePrefix="0" xfId="0">
      <alignment horizontal="center" vertical="top" wrapText="1"/>
    </xf>
    <xf numFmtId="0" fontId="11" fillId="12" borderId="1" applyAlignment="1" pivotButton="0" quotePrefix="0" xfId="0">
      <alignment vertical="top" wrapText="1"/>
    </xf>
    <xf numFmtId="0" fontId="11" fillId="12" borderId="1" applyAlignment="1" pivotButton="0" quotePrefix="0" xfId="0">
      <alignment horizontal="center" vertical="center" wrapText="1"/>
    </xf>
    <xf numFmtId="0" fontId="10" fillId="12"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12" borderId="1" applyAlignment="1" pivotButton="0" quotePrefix="0" xfId="0">
      <alignment horizontal="center" vertical="top" wrapText="1"/>
    </xf>
    <xf numFmtId="0" fontId="10" fillId="13" borderId="24" applyAlignment="1" pivotButton="0" quotePrefix="0" xfId="0">
      <alignment horizontal="center" vertical="top" wrapText="1"/>
    </xf>
    <xf numFmtId="0" fontId="11" fillId="13" borderId="1" applyAlignment="1" pivotButton="0" quotePrefix="0" xfId="0">
      <alignment vertical="top" wrapText="1"/>
    </xf>
    <xf numFmtId="0" fontId="11" fillId="13" borderId="1" applyAlignment="1" pivotButton="0" quotePrefix="0" xfId="0">
      <alignment horizontal="center" vertical="center" wrapText="1"/>
    </xf>
    <xf numFmtId="0" fontId="10" fillId="13" borderId="1" applyAlignment="1" pivotButton="0" quotePrefix="0" xfId="0">
      <alignment horizontal="center" vertical="center" wrapText="1"/>
    </xf>
    <xf numFmtId="0" fontId="11" fillId="13" borderId="1" applyAlignment="1" pivotButton="0" quotePrefix="0" xfId="0">
      <alignment horizontal="center" vertical="top" wrapText="1"/>
    </xf>
    <xf numFmtId="0" fontId="10" fillId="12" borderId="25" applyAlignment="1" pivotButton="0" quotePrefix="0" xfId="0">
      <alignment horizontal="center" vertical="top" wrapText="1"/>
    </xf>
    <xf numFmtId="0" fontId="11" fillId="12" borderId="22" applyAlignment="1" pivotButton="0" quotePrefix="0" xfId="0">
      <alignment vertical="top" wrapText="1"/>
    </xf>
    <xf numFmtId="0" fontId="11" fillId="12" borderId="22" applyAlignment="1" pivotButton="0" quotePrefix="0" xfId="0">
      <alignment horizontal="center" vertical="center" wrapText="1"/>
    </xf>
    <xf numFmtId="0" fontId="10" fillId="12" borderId="22" applyAlignment="1" pivotButton="0" quotePrefix="0" xfId="0">
      <alignment horizontal="center" vertical="center" wrapText="1"/>
    </xf>
    <xf numFmtId="0" fontId="10" fillId="0" borderId="22" applyAlignment="1" pivotButton="0" quotePrefix="0" xfId="0">
      <alignment horizontal="center" vertical="center" wrapText="1"/>
    </xf>
    <xf numFmtId="0" fontId="11" fillId="12" borderId="22" applyAlignment="1" pivotButton="0" quotePrefix="0" xfId="0">
      <alignment horizontal="center" vertical="top" wrapText="1"/>
    </xf>
    <xf numFmtId="0" fontId="0" fillId="0" borderId="29" pivotButton="0" quotePrefix="0" xfId="0"/>
  </cellXfs>
  <cellStyles count="1">
    <cellStyle name="Normal" xfId="0" builtinId="0"/>
  </cellStyles>
  <dxfs count="3">
    <dxf>
      <fill>
        <patternFill>
          <bgColor rgb="FFC6E0B4"/>
        </patternFill>
      </fill>
    </dxf>
    <dxf>
      <fill>
        <patternFill>
          <bgColor rgb="FFFFE699"/>
        </patternFill>
      </fill>
    </dxf>
    <dxf>
      <fill>
        <patternFill>
          <bgColor rgb="FFF8CBA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fitToPage="1"/>
  </sheetPr>
  <dimension ref="B1:E41"/>
  <sheetViews>
    <sheetView showGridLines="0" zoomScaleNormal="100" workbookViewId="0">
      <selection activeCell="D9" sqref="D9"/>
    </sheetView>
  </sheetViews>
  <sheetFormatPr baseColWidth="8" defaultColWidth="8.6640625" defaultRowHeight="14.4"/>
  <cols>
    <col width="2.5546875" customWidth="1" min="1" max="1"/>
    <col width="42.5546875" customWidth="1" min="2" max="2"/>
    <col width="46.33203125" customWidth="1" min="3" max="5"/>
  </cols>
  <sheetData>
    <row r="1" ht="30" customHeight="1">
      <c r="B1" s="43" t="inlineStr">
        <is>
          <t>8.1 Risk assessment method</t>
        </is>
      </c>
      <c r="C1" s="32" t="n"/>
      <c r="D1" s="32" t="n"/>
      <c r="E1" s="32" t="n"/>
    </row>
    <row r="2" ht="12" customHeight="1">
      <c r="B2" s="33" t="n"/>
      <c r="C2" s="32" t="n"/>
      <c r="D2" s="32" t="n"/>
      <c r="E2" s="32" t="n"/>
    </row>
    <row r="3" ht="12" customHeight="1">
      <c r="B3" s="32" t="n"/>
      <c r="C3" s="32" t="n"/>
      <c r="D3" s="32" t="n"/>
      <c r="E3" s="32" t="n"/>
    </row>
    <row r="4" ht="24" customHeight="1">
      <c r="B4" s="34" t="inlineStr">
        <is>
          <t>Scale</t>
        </is>
      </c>
      <c r="C4" s="34" t="inlineStr">
        <is>
          <t>Low (1)</t>
        </is>
      </c>
      <c r="D4" s="34" t="inlineStr">
        <is>
          <t>Medium (2)</t>
        </is>
      </c>
      <c r="E4" s="34" t="inlineStr">
        <is>
          <t>High (3)</t>
        </is>
      </c>
    </row>
    <row r="5" ht="39.6" customHeight="1">
      <c r="B5" s="3" t="inlineStr">
        <is>
          <t>Probability</t>
        </is>
      </c>
      <c r="C5" s="4" t="inlineStr">
        <is>
          <t>No current indicator. Occurrence would require an unexpected change in project or organisational conditions before the M4 gate.</t>
        </is>
      </c>
      <c r="D5" s="4" t="inlineStr">
        <is>
          <t>Plausible on the evidence available, or dependent on an assumption the team has recorded but not confirmed.</t>
        </is>
      </c>
      <c r="E5" s="4" t="inlineStr">
        <is>
          <t>An indicator is already present in the scenario or the project, or the risk depends on information the team knows it does not have.</t>
        </is>
      </c>
    </row>
    <row r="6" ht="52.8" customHeight="1">
      <c r="B6" s="3" t="inlineStr">
        <is>
          <t>Impact</t>
        </is>
      </c>
      <c r="C6" s="4" t="inlineStr">
        <is>
          <t>Absorbed within the current milestone. No baselined requirement, constraint or date changes.</t>
        </is>
      </c>
      <c r="D6" s="4" t="inlineStr">
        <is>
          <t>Forces a controlled change to a baselined artefact, or consumes schedule contingency, or degrades a stated business capability.</t>
        </is>
      </c>
      <c r="E6" s="4" t="inlineStr">
        <is>
          <t>Defeats a stated business need or a committed capability, breaches a security or personal-information obligation, or threatens the milestone gate. Recovery requires re-baselining.</t>
        </is>
      </c>
    </row>
    <row r="7" ht="12" customHeight="1" thickBot="1">
      <c r="B7" s="32" t="n"/>
      <c r="C7" s="32" t="n"/>
      <c r="D7" s="32" t="n"/>
      <c r="E7" s="32" t="n"/>
    </row>
    <row r="8" ht="25.95" customHeight="1">
      <c r="B8" s="44" t="inlineStr">
        <is>
          <t>Priority bands</t>
        </is>
      </c>
      <c r="C8" s="35" t="n"/>
      <c r="D8" s="32" t="n"/>
      <c r="E8" s="32" t="n"/>
    </row>
    <row r="9" ht="26.4" customHeight="1">
      <c r="B9" s="9" t="inlineStr">
        <is>
          <t>1 – 2</t>
        </is>
      </c>
      <c r="C9" s="12" t="inlineStr">
        <is>
          <t>LOW — monitored at the scheduled milestone review; no action committed.</t>
        </is>
      </c>
      <c r="D9" s="32" t="n"/>
      <c r="E9" s="32" t="n"/>
    </row>
    <row r="10" ht="26.4" customHeight="1">
      <c r="B10" s="10" t="inlineStr">
        <is>
          <t>3 – 4</t>
        </is>
      </c>
      <c r="C10" s="12" t="inlineStr">
        <is>
          <t>MEDIUM — a named mitigation is committed and tracked to a milestone.</t>
        </is>
      </c>
      <c r="D10" s="32" t="n"/>
      <c r="E10" s="32" t="n"/>
    </row>
    <row r="11" ht="27" customHeight="1" thickBot="1">
      <c r="B11" s="11" t="inlineStr">
        <is>
          <t>6 – 9</t>
        </is>
      </c>
      <c r="C11" s="13" t="inlineStr">
        <is>
          <t>HIGH — mitigation is active now and the risk is reviewed at every team meeting.</t>
        </is>
      </c>
      <c r="D11" s="32" t="n"/>
      <c r="E11" s="32" t="n"/>
    </row>
    <row r="12" ht="12" customHeight="1">
      <c r="B12" s="32" t="n"/>
      <c r="C12" s="32" t="n"/>
      <c r="D12" s="32" t="n"/>
      <c r="E12" s="32" t="n"/>
    </row>
    <row r="13" ht="18" customHeight="1">
      <c r="B13" s="33" t="inlineStr">
        <is>
          <t>The register is reviewed at every milestone, as required by Master Project Brief s.12.</t>
        </is>
      </c>
      <c r="C13" s="32" t="n"/>
      <c r="D13" s="32" t="n"/>
      <c r="E13" s="32" t="n"/>
    </row>
    <row r="14" ht="12" customHeight="1">
      <c r="B14" s="32" t="n"/>
      <c r="C14" s="32" t="n"/>
      <c r="D14" s="32" t="n"/>
      <c r="E14" s="32" t="n"/>
    </row>
    <row r="15" ht="18" customHeight="1" thickBot="1">
      <c r="B15" s="33" t="inlineStr">
        <is>
          <t>Numeric scale used in the Prob. and Impact columns — enter 1, 2 or 3</t>
        </is>
      </c>
      <c r="C15" s="32" t="n"/>
      <c r="D15" s="32" t="n"/>
      <c r="E15" s="32" t="n"/>
    </row>
    <row r="16" ht="15" customHeight="1">
      <c r="B16" s="36" t="inlineStr">
        <is>
          <t>Low</t>
        </is>
      </c>
      <c r="C16" s="37" t="n">
        <v>1</v>
      </c>
      <c r="D16" s="32" t="n"/>
      <c r="E16" s="32" t="n"/>
    </row>
    <row r="17" ht="15" customHeight="1">
      <c r="B17" s="38" t="inlineStr">
        <is>
          <t>Medium</t>
        </is>
      </c>
      <c r="C17" s="39" t="n">
        <v>2</v>
      </c>
      <c r="D17" s="32" t="n"/>
      <c r="E17" s="32" t="n"/>
    </row>
    <row r="18" ht="15" customHeight="1" thickBot="1">
      <c r="B18" s="40" t="inlineStr">
        <is>
          <t>High</t>
        </is>
      </c>
      <c r="C18" s="41" t="n">
        <v>3</v>
      </c>
      <c r="D18" s="32" t="n"/>
      <c r="E18" s="32" t="n"/>
    </row>
    <row r="19" ht="12" customHeight="1">
      <c r="B19" s="32" t="n"/>
      <c r="C19" s="32" t="n"/>
      <c r="D19" s="32" t="n"/>
      <c r="E19" s="32" t="n"/>
    </row>
    <row r="20" ht="25.95" customHeight="1">
      <c r="B20" s="45" t="inlineStr">
        <is>
          <t>Risk exposure matrix</t>
        </is>
      </c>
      <c r="E20" s="32" t="n"/>
    </row>
    <row r="21" ht="18" customHeight="1">
      <c r="B21" s="33" t="inlineStr">
        <is>
          <t>Each cell is the Priority score the scale produces for that combination — Probability × Impact. Colour shows the band: 1–2 Low, 3–4 Medium, 6–9 High.</t>
        </is>
      </c>
      <c r="C21" s="32" t="n"/>
      <c r="D21" s="32" t="n"/>
      <c r="E21" s="32" t="n"/>
    </row>
    <row r="22" ht="12" customHeight="1" thickBot="1">
      <c r="B22" s="32" t="n"/>
      <c r="C22" s="32" t="n"/>
      <c r="D22" s="32" t="n"/>
      <c r="E22" s="32" t="n"/>
    </row>
    <row r="23" ht="25.95" customHeight="1">
      <c r="B23" s="46" t="inlineStr">
        <is>
          <t>Impact ↓   /   Probability →</t>
        </is>
      </c>
      <c r="C23" s="14" t="inlineStr">
        <is>
          <t>Low (1)</t>
        </is>
      </c>
      <c r="D23" s="14" t="inlineStr">
        <is>
          <t>Medium (2)</t>
        </is>
      </c>
      <c r="E23" s="17" t="inlineStr">
        <is>
          <t>High (3)</t>
        </is>
      </c>
    </row>
    <row r="24" ht="25.95" customHeight="1">
      <c r="B24" s="47" t="inlineStr">
        <is>
          <t>High (3)</t>
        </is>
      </c>
      <c r="C24" s="5" t="n">
        <v>3</v>
      </c>
      <c r="D24" s="6" t="n">
        <v>6</v>
      </c>
      <c r="E24" s="18" t="n">
        <v>9</v>
      </c>
    </row>
    <row r="25" ht="25.95" customHeight="1">
      <c r="B25" s="47" t="inlineStr">
        <is>
          <t>Medium (2)</t>
        </is>
      </c>
      <c r="C25" s="7" t="n">
        <v>2</v>
      </c>
      <c r="D25" s="5" t="n">
        <v>4</v>
      </c>
      <c r="E25" s="18" t="n">
        <v>6</v>
      </c>
    </row>
    <row r="26" ht="25.95" customHeight="1" thickBot="1">
      <c r="B26" s="48" t="inlineStr">
        <is>
          <t>Low (1)</t>
        </is>
      </c>
      <c r="C26" s="15" t="n">
        <v>1</v>
      </c>
      <c r="D26" s="15" t="n">
        <v>2</v>
      </c>
      <c r="E26" s="19" t="n">
        <v>3</v>
      </c>
    </row>
    <row r="27" ht="12" customHeight="1">
      <c r="B27" s="32" t="n"/>
      <c r="C27" s="32" t="n"/>
      <c r="D27" s="32" t="n"/>
      <c r="E27" s="32" t="n"/>
    </row>
    <row r="28" ht="12" customHeight="1">
      <c r="B28" s="32" t="n"/>
      <c r="C28" s="32" t="n"/>
      <c r="D28" s="32" t="n"/>
      <c r="E28" s="32" t="n"/>
    </row>
    <row r="29" ht="25.95" customHeight="1" thickBot="1">
      <c r="B29" s="45" t="inlineStr">
        <is>
          <t>Where the register’s risks actually are (open, re-scored and new; closed and materialised rows are excluded below)</t>
        </is>
      </c>
      <c r="E29" s="32" t="n"/>
    </row>
    <row r="30" ht="25.95" customHeight="1">
      <c r="B30" s="46" t="inlineStr">
        <is>
          <t>Impact ↓   /   Probability →</t>
        </is>
      </c>
      <c r="C30" s="14" t="inlineStr">
        <is>
          <t>Low (1)</t>
        </is>
      </c>
      <c r="D30" s="14" t="inlineStr">
        <is>
          <t>Medium (2)</t>
        </is>
      </c>
      <c r="E30" s="17" t="inlineStr">
        <is>
          <t>High (3)</t>
        </is>
      </c>
    </row>
    <row r="31" ht="25.95" customHeight="1">
      <c r="B31" s="47" t="inlineStr">
        <is>
          <t>High (3)</t>
        </is>
      </c>
      <c r="C31" s="20">
        <f>COUNTIFS('Risk Register'!$F$3:$F$30,1,'Risk Register'!$G$3:$G$30,3,'Risk Register'!$M$3:$M$30,"Open*")</f>
        <v/>
      </c>
      <c r="D31" s="21">
        <f>COUNTIFS('Risk Register'!$F$3:$F$30,2,'Risk Register'!$G$3:$G$30,3,'Risk Register'!$M$3:$M$30,"Open*")</f>
        <v/>
      </c>
      <c r="E31" s="22">
        <f>COUNTIFS('Risk Register'!$F$3:$F$30,3,'Risk Register'!$G$3:$G$30,3,'Risk Register'!$M$3:$M$30,"Open*")</f>
        <v/>
      </c>
    </row>
    <row r="32" ht="25.95" customHeight="1">
      <c r="B32" s="47" t="inlineStr">
        <is>
          <t>Medium (2)</t>
        </is>
      </c>
      <c r="C32" s="23">
        <f>COUNTIFS('Risk Register'!$F$3:$F$30,1,'Risk Register'!$G$3:$G$30,2,'Risk Register'!$M$3:$M$30,"Open*")</f>
        <v/>
      </c>
      <c r="D32" s="20">
        <f>COUNTIFS('Risk Register'!$F$3:$F$30,2,'Risk Register'!$G$3:$G$30,2,'Risk Register'!$M$3:$M$30,"Open*")</f>
        <v/>
      </c>
      <c r="E32" s="22">
        <f>COUNTIFS('Risk Register'!$F$3:$F$30,3,'Risk Register'!$G$3:$G$30,2,'Risk Register'!$M$3:$M$30,"Open*")</f>
        <v/>
      </c>
    </row>
    <row r="33" ht="25.95" customHeight="1" thickBot="1">
      <c r="B33" s="48" t="inlineStr">
        <is>
          <t>Low (1)</t>
        </is>
      </c>
      <c r="C33" s="24">
        <f>COUNTIFS('Risk Register'!$F$3:$F$30,1,'Risk Register'!$G$3:$G$30,1,'Risk Register'!$M$3:$M$30,"Open*")</f>
        <v/>
      </c>
      <c r="D33" s="24">
        <f>COUNTIFS('Risk Register'!$F$3:$F$30,2,'Risk Register'!$G$3:$G$30,1,'Risk Register'!$M$3:$M$30,"Open*")</f>
        <v/>
      </c>
      <c r="E33" s="25">
        <f>COUNTIFS('Risk Register'!$F$3:$F$30,3,'Risk Register'!$G$3:$G$30,1,'Risk Register'!$M$3:$M$30,"Open*")</f>
        <v/>
      </c>
    </row>
    <row r="34" ht="12" customHeight="1">
      <c r="B34" s="32" t="n"/>
      <c r="C34" s="32" t="n"/>
      <c r="D34" s="32" t="n"/>
      <c r="E34" s="32" t="n"/>
    </row>
    <row r="35" ht="12" customHeight="1" thickBot="1">
      <c r="B35" s="32" t="n"/>
      <c r="C35" s="32" t="n"/>
      <c r="D35" s="32" t="n"/>
      <c r="E35" s="32" t="n"/>
    </row>
    <row r="36" ht="25.95" customHeight="1">
      <c r="B36" s="16" t="inlineStr">
        <is>
          <t>Band</t>
        </is>
      </c>
      <c r="C36" s="17" t="inlineStr">
        <is>
          <t>Count</t>
        </is>
      </c>
      <c r="D36" s="32" t="n"/>
      <c r="E36" s="32" t="n"/>
    </row>
    <row r="37" ht="25.95" customHeight="1">
      <c r="B37" s="49" t="inlineStr">
        <is>
          <t>High</t>
        </is>
      </c>
      <c r="C37" s="50">
        <f>COUNTIFS('Risk Register'!$I$3:$I$30,"High",'Risk Register'!$M$3:$M$30,"Open*")</f>
        <v/>
      </c>
      <c r="D37" s="32" t="n"/>
      <c r="E37" s="32" t="n"/>
    </row>
    <row r="38" ht="25.95" customHeight="1">
      <c r="B38" s="51" t="inlineStr">
        <is>
          <t>Medium</t>
        </is>
      </c>
      <c r="C38" s="50">
        <f>COUNTIFS('Risk Register'!$I$3:$I$30,"Medium",'Risk Register'!$M$3:$M$30,"Open*")</f>
        <v/>
      </c>
      <c r="D38" s="32" t="n"/>
      <c r="E38" s="32" t="n"/>
    </row>
    <row r="39" ht="25.95" customHeight="1" thickBot="1">
      <c r="B39" s="52" t="inlineStr">
        <is>
          <t>Low</t>
        </is>
      </c>
      <c r="C39" s="53">
        <f>COUNTIFS('Risk Register'!$I$3:$I$30,"Low",'Risk Register'!$M$3:$M$30,"Open*")</f>
        <v/>
      </c>
      <c r="D39" s="32" t="n"/>
      <c r="E39" s="32" t="n"/>
    </row>
    <row r="40" ht="25.95" customHeight="1" thickBot="1" thickTop="1">
      <c r="B40" s="54" t="inlineStr">
        <is>
          <t>Total</t>
        </is>
      </c>
      <c r="C40" s="55">
        <f>SUM(C37:C39)</f>
        <v/>
      </c>
      <c r="D40" s="32" t="n"/>
      <c r="E40" s="32" t="n"/>
    </row>
    <row r="41">
      <c r="B41" t="inlineStr">
        <is>
          <t>Closed or materialised</t>
        </is>
      </c>
      <c r="C41">
        <f>COUNTA('Risk Register'!$B$3:$B$30)-C40</f>
        <v/>
      </c>
    </row>
  </sheetData>
  <mergeCells count="2">
    <mergeCell ref="B29:D29"/>
    <mergeCell ref="B20:D20"/>
  </mergeCells>
  <pageMargins left="0.75" right="0.75" top="1" bottom="1" header="0.511811023622047" footer="0.511811023622047"/>
  <pageSetup orientation="landscape" paperSize="9" fitToHeight="0" horizontalDpi="300" verticalDpi="300"/>
</worksheet>
</file>

<file path=xl/worksheets/sheet2.xml><?xml version="1.0" encoding="utf-8"?>
<worksheet xmlns="http://schemas.openxmlformats.org/spreadsheetml/2006/main">
  <sheetPr>
    <tabColor rgb="FF2F5597"/>
    <outlinePr summaryBelow="1" summaryRight="1"/>
    <pageSetUpPr fitToPage="1"/>
  </sheetPr>
  <dimension ref="A1:P23"/>
  <sheetViews>
    <sheetView showGridLines="0" zoomScaleNormal="100" workbookViewId="0">
      <pane xSplit="2" ySplit="2" topLeftCell="C11" activePane="bottomRight" state="frozen"/>
      <selection pane="topRight" activeCell="B1" sqref="B1"/>
      <selection pane="bottomLeft" activeCell="A3" sqref="A3"/>
      <selection pane="bottomRight" activeCell="F6" sqref="F6"/>
    </sheetView>
  </sheetViews>
  <sheetFormatPr baseColWidth="8" defaultColWidth="8.6640625" defaultRowHeight="14.4"/>
  <cols>
    <col width="2.5546875" customWidth="1" min="1" max="1"/>
    <col width="10.77734375" customWidth="1" min="2" max="2"/>
    <col width="46.33203125" customWidth="1" min="3" max="3"/>
    <col width="55.5546875" customWidth="1" min="4" max="4"/>
    <col width="37" customWidth="1" min="5" max="5"/>
    <col width="11.44140625" customWidth="1" min="6" max="8"/>
    <col width="12.21875" customWidth="1" min="9" max="9"/>
    <col width="55.5546875" customWidth="1" min="10" max="10"/>
    <col width="46.33203125" customWidth="1" min="11" max="11"/>
    <col width="13.6640625" customWidth="1" min="12" max="12"/>
    <col width="11.88671875" customWidth="1" min="13" max="13"/>
    <col width="35.21875" customWidth="1" min="14" max="14"/>
    <col width="60" customWidth="1" min="15" max="16"/>
  </cols>
  <sheetData>
    <row r="1" ht="30" customHeight="1" thickBot="1">
      <c r="B1" s="58" t="inlineStr">
        <is>
          <t>8.2 Risk Register</t>
        </is>
      </c>
      <c r="C1" s="82" t="n"/>
    </row>
    <row r="2" ht="34.05" customHeight="1">
      <c r="B2" s="29" t="inlineStr">
        <is>
          <t>ID</t>
        </is>
      </c>
      <c r="C2" s="28" t="inlineStr">
        <is>
          <t>Risk description</t>
        </is>
      </c>
      <c r="D2" s="28" t="inlineStr">
        <is>
          <t>Cause</t>
        </is>
      </c>
      <c r="E2" s="28" t="inlineStr">
        <is>
          <t>Early-warning indicator</t>
        </is>
      </c>
      <c r="F2" s="28" t="inlineStr">
        <is>
          <t>Prob.
(1–3)</t>
        </is>
      </c>
      <c r="G2" s="28" t="inlineStr">
        <is>
          <t>Impact
(1–3)</t>
        </is>
      </c>
      <c r="H2" s="28" t="inlineStr">
        <is>
          <t>Priority
(P×I)</t>
        </is>
      </c>
      <c r="I2" s="28" t="inlineStr">
        <is>
          <t>Band</t>
        </is>
      </c>
      <c r="J2" s="28" t="inlineStr">
        <is>
          <t>Mitigation (preventive)</t>
        </is>
      </c>
      <c r="K2" s="28" t="inlineStr">
        <is>
          <t>Contingency (if realised)</t>
        </is>
      </c>
      <c r="L2" s="28" t="inlineStr">
        <is>
          <t>Owner</t>
        </is>
      </c>
      <c r="M2" s="28" t="inlineStr">
        <is>
          <t>Status</t>
        </is>
      </c>
      <c r="N2" s="30" t="inlineStr">
        <is>
          <t>Linked artefacts</t>
        </is>
      </c>
      <c r="O2" s="30" t="inlineStr">
        <is>
          <t>M2 review — 30/09/2026 (what changed and why)</t>
        </is>
      </c>
      <c r="P2" s="2" t="n"/>
    </row>
    <row r="3" ht="118.8" customHeight="1">
      <c r="B3" s="65" t="inlineStr">
        <is>
          <t>RSK-001</t>
        </is>
      </c>
      <c r="C3" s="66" t="inlineStr">
        <is>
          <t>Requesters keep using email, telephone and WhatsApp after the platform is live, so the single controlled record of a request lifecycle is never achieved.</t>
        </is>
      </c>
      <c r="D3" s="66" t="inlineStr">
        <is>
          <t>SCP-017 deliberately excludes ingestion from the existing channels, and nothing in the platform closes them. Channel retirement is an organisational decision the team does not control.</t>
        </is>
      </c>
      <c r="E3" s="66" t="inlineStr">
        <is>
          <t>Any pilot week in which STK-004 reports requests still arriving by telephone or WhatsApp.</t>
        </is>
      </c>
      <c r="F3" s="67" t="n">
        <v>3</v>
      </c>
      <c r="G3" s="67" t="n">
        <v>3</v>
      </c>
      <c r="H3" s="68">
        <f>F3*G3</f>
        <v/>
      </c>
      <c r="I3" s="69">
        <f>IF($H3="","",IF($H3&gt;=6,"High",IF($H3&gt;=3,"Medium","Low")))</f>
        <v/>
      </c>
      <c r="J3" s="66" t="inlineStr">
        <is>
          <t>The exclusion in SCP-017 is defended on the correct engineering ground — federating the old channels would preserve the duplication the platform exists to remove — so the residual exposure is adoption, not design. Record channel retirement as an assumption with its impact if invalid and raise it with STK-008 and STK-004 as an organisational commitment rather than a system feature. Ensure SCP-001 supports STK-004 capturing a request on a requester's behalf, so contacts that still arrive informally enter the controlled record.</t>
        </is>
      </c>
      <c r="K3" s="66" t="inlineStr">
        <is>
          <t>Coordinator-side capture becomes the primary path rather than the exception; record the reduced value against STK-001 and the weakened reporting against STK-005.</t>
        </is>
      </c>
      <c r="L3" s="70" t="inlineStr">
        <is>
          <t>Ethan</t>
        </is>
      </c>
      <c r="M3" s="70" t="inlineStr">
        <is>
          <t>Open</t>
        </is>
      </c>
      <c r="N3" s="60" t="inlineStr">
        <is>
          <t>SCP-017 · SCP-001 · STK-001 · STK-004 · STK-008 · FEC-002</t>
        </is>
      </c>
      <c r="O3" s="60" t="inlineStr">
        <is>
          <t>Reviewed at M2 — no change.</t>
        </is>
      </c>
      <c r="P3" s="8" t="n"/>
    </row>
    <row r="4" ht="79.2" customHeight="1">
      <c r="B4" s="71" t="inlineStr">
        <is>
          <t>RSK-002</t>
        </is>
      </c>
      <c r="C4" s="72" t="inlineStr">
        <is>
          <t>Identifiable personal information is retained indefinitely because no retention period exists and automated enforcement is deferred.</t>
        </is>
      </c>
      <c r="D4" s="72" t="inlineStr">
        <is>
          <t>DEC-005 defers the retention period pending guidance from STK-009 that the team does not have, and SCP-020 defers enforcement as a consequence. With no rule, the default behaviour of any implementation is to keep everything.</t>
        </is>
      </c>
      <c r="E4" s="72" t="inlineStr">
        <is>
          <t>A gap in the PROC-001 run log, or a closed request older than 30 days that still carries personal fields.</t>
        </is>
      </c>
      <c r="F4" s="73" t="n">
        <v>1</v>
      </c>
      <c r="G4" s="73" t="n">
        <v>3</v>
      </c>
      <c r="H4" s="74">
        <f>F4*G4</f>
        <v/>
      </c>
      <c r="I4" s="69">
        <f>IF($H4="","",IF($H4&gt;=6,"High",IF($H4&gt;=3,"Medium","Low")))</f>
        <v/>
      </c>
      <c r="J4" s="72" t="inlineStr">
        <is>
          <t>Keep DEC-005 open with a named owner and a target date, and pursue STK-009 as a tracked dependency rather than waiting for guidance to arrive. Require the M2 data model to separate identifiable request data from the aggregated statistics CFL-004 depends on, so a retention rule can later be applied without destroying the reporting STK-005 needs.</t>
        </is>
      </c>
      <c r="K4" s="72" t="inlineStr">
        <is>
          <t>Adopt a documented institutional retention standard as an interim position, recorded as an assumption with its basis, and mark the affected acceptance criteria provisional until STK-009 confirms.</t>
        </is>
      </c>
      <c r="L4" s="75" t="inlineStr">
        <is>
          <t>Ethan</t>
        </is>
      </c>
      <c r="M4" s="75" t="inlineStr">
        <is>
          <t>Open — re-scored at M2</t>
        </is>
      </c>
      <c r="N4" s="62" t="inlineStr">
        <is>
          <t>DEC-005 · CFL-004 · SCP-020 · CON-007 · STK-009 · FEC-001</t>
        </is>
      </c>
      <c r="O4" s="62" t="inlineStr">
        <is>
          <t>Re-scored: probability 3 → 1 (priority 9 → 3). The cause no longer holds: DEC-005 fixed the retention period and DEC-017 separates retention by purpose; PROC-001 enforces it by witnessed manual procedure. Residual: a missed PROC-001 run. Indicator changed to a gap in the PROC-001 run log. Proposed by R. van der Merwe (PED v1.7 §8.3.1), adopted by the register owner.</t>
        </is>
      </c>
      <c r="P4" s="8" t="n"/>
    </row>
    <row r="5" ht="79.2" customHeight="1">
      <c r="B5" s="65" t="inlineStr">
        <is>
          <t>RSK-003</t>
        </is>
      </c>
      <c r="C5" s="66" t="inlineStr">
        <is>
          <t>'Overdue' has no agreed definition, so SCP-011 cannot be specified, accepted or tested.</t>
        </is>
      </c>
      <c r="D5" s="66" t="inlineStr">
        <is>
          <t>SCP-011 commits to identifying overdue requests, but no service-level target exists for any category and — unlike every other open question in the baseline — no decision or deferment has been logged for it.</t>
        </is>
      </c>
      <c r="E5" s="66" t="inlineStr">
        <is>
          <t>An acceptance criterion for SCP-011 that a third party could not evaluate without asking the team what was meant.</t>
        </is>
      </c>
      <c r="F5" s="67" t="n">
        <v>3</v>
      </c>
      <c r="G5" s="67" t="n">
        <v>2</v>
      </c>
      <c r="H5" s="68">
        <f>F5*G5</f>
        <v/>
      </c>
      <c r="I5" s="69">
        <f>IF($H5="","",IF($H5&gt;=6,"High",IF($H5&gt;=3,"Medium","Low")))</f>
        <v/>
      </c>
      <c r="J5" s="66" t="inlineStr">
        <is>
          <t>Log the target as a decision now — either agreed with STK-005 or deferred with the evidence required stated — so it sits inside the decision log rather than outside it. Specify SCP-011 against a configurable target per category so the requirement survives whatever is later agreed. CON-005 requires the resulting quality attribute to carry a number and a condition.</t>
        </is>
      </c>
      <c r="K5" s="66" t="inlineStr">
        <is>
          <t>Baseline a stated default target, record it as an assumption with its basis, and mark the SCP-011 acceptance criteria provisional.</t>
        </is>
      </c>
      <c r="L5" s="70" t="inlineStr">
        <is>
          <t>Robert</t>
        </is>
      </c>
      <c r="M5" s="70" t="inlineStr">
        <is>
          <t>Open</t>
        </is>
      </c>
      <c r="N5" s="60" t="inlineStr">
        <is>
          <t>SCP-011 · STK-005 · CON-005 · no DEC logged — gap</t>
        </is>
      </c>
      <c r="O5" s="60" t="inlineStr">
        <is>
          <t>Reviewed at M2 — no change.</t>
        </is>
      </c>
      <c r="P5" s="8" t="n"/>
    </row>
    <row r="6" ht="79.2" customHeight="1">
      <c r="B6" s="71" t="inlineStr">
        <is>
          <t>RSK-004</t>
        </is>
      </c>
      <c r="C6" s="72" t="inlineStr">
        <is>
          <t>Duplicate requests are recreated inside the platform, so the duplication STK-004 needs removed persists in a new form.</t>
        </is>
      </c>
      <c r="D6" s="72" t="inlineStr">
        <is>
          <t>Avoiding duplicate requests is STK-004's primary stated need, but no in-scope capability addresses detection. SCP-006 provides search and filter after the fact, not prevention at the point of submission.</t>
        </is>
      </c>
      <c r="E6" s="72" t="inlineStr">
        <is>
          <t>Demonstration or pilot data showing several open requests with the same category and location.</t>
        </is>
      </c>
      <c r="F6" s="73" t="n">
        <v>3</v>
      </c>
      <c r="G6" s="73" t="n">
        <v>2</v>
      </c>
      <c r="H6" s="74">
        <f>F6*G6</f>
        <v/>
      </c>
      <c r="I6" s="69">
        <f>IF($H6="","",IF($H6&gt;=6,"High",IF($H6&gt;=3,"Medium","Low")))</f>
        <v/>
      </c>
      <c r="J6" s="72" t="inlineStr">
        <is>
          <t>Raise a functional requirement for surfacing candidate duplicates by category and location at submission, traced to STK-004, with an acceptance measure expressed as coordinator triage effort rather than as a feature. If the team decides not to add it, record the omission as an accepted residual risk rather than leaving it implied by silence.</t>
        </is>
      </c>
      <c r="K6" s="72" t="inlineStr">
        <is>
          <t>Provide STK-004 with a link-or-merge action on related requests and accept the residual manual effort, recording it against that stakeholder.</t>
        </is>
      </c>
      <c r="L6" s="75" t="inlineStr">
        <is>
          <t>Robert</t>
        </is>
      </c>
      <c r="M6" s="75" t="inlineStr">
        <is>
          <t>Open</t>
        </is>
      </c>
      <c r="N6" s="62" t="inlineStr">
        <is>
          <t>STK-004 · SCP-001 · SCP-006 · Master Brief s.2</t>
        </is>
      </c>
      <c r="O6" s="62" t="inlineStr">
        <is>
          <t>Reviewed at M2 — no change.</t>
        </is>
      </c>
      <c r="P6" s="8" t="n"/>
    </row>
    <row r="7" ht="66" customHeight="1">
      <c r="B7" s="65" t="inlineStr">
        <is>
          <t>RSK-005</t>
        </is>
      </c>
      <c r="C7" s="66" t="inlineStr">
        <is>
          <t>Management reporting is unreliable because the detail it depends on is optional.</t>
        </is>
      </c>
      <c r="D7" s="66" t="inlineStr">
        <is>
          <t>DEC-006 limits mandatory capture to category, location and description and moves further detail to after submission. CFL-001 accepts that reporting richness therefore depends on requesters supplying optional detail they have little incentive to supply.</t>
        </is>
      </c>
      <c r="E7" s="66" t="inlineStr">
        <is>
          <t>Sample submissions in which the post-submission detail is left empty.</t>
        </is>
      </c>
      <c r="F7" s="67" t="n">
        <v>2</v>
      </c>
      <c r="G7" s="67" t="n">
        <v>2</v>
      </c>
      <c r="H7" s="68">
        <f>F7*G7</f>
        <v/>
      </c>
      <c r="I7" s="69">
        <f>IF($H7="","",IF($H7&gt;=6,"High",IF($H7&gt;=3,"Medium","Low")))</f>
        <v/>
      </c>
      <c r="J7" s="66" t="inlineStr">
        <is>
          <t>Specify post-submission prompting as a requirement rather than an assumed behaviour, and define a completeness measure for STK-005's reporting so DEC-006 can be evaluated against evidence rather than debated. A's decision already anticipates revisiting it through change control — give that trigger a number.</t>
        </is>
      </c>
      <c r="K7" s="66" t="inlineStr">
        <is>
          <t>Make one additional field mandatory through controlled change, accepting the submission-effort cost to STK-001 that CFL-001 was resolved to avoid.</t>
        </is>
      </c>
      <c r="L7" s="70" t="inlineStr">
        <is>
          <t>Robert</t>
        </is>
      </c>
      <c r="M7" s="70" t="inlineStr">
        <is>
          <t>Open</t>
        </is>
      </c>
      <c r="N7" s="60" t="inlineStr">
        <is>
          <t>DEC-006 · CFL-001 · SCP-011 · STK-001 · STK-005</t>
        </is>
      </c>
      <c r="O7" s="60" t="inlineStr">
        <is>
          <t>Reviewed at M2 — no change.</t>
        </is>
      </c>
      <c r="P7" s="8" t="n"/>
    </row>
    <row r="8" ht="66" customHeight="1">
      <c r="B8" s="71" t="inlineStr">
        <is>
          <t>RSK-006</t>
        </is>
      </c>
      <c r="C8" s="72" t="inlineStr">
        <is>
          <t>The campus context assumption proves wrong, invalidating the stakeholder register and every requirement derived from it.</t>
        </is>
      </c>
      <c r="D8" s="72" t="inlineStr">
        <is>
          <t>DEC-001 records that the Master Brief does not name the client organisation and that a campus context was inferred from the request types. The decision itself states that STK-001 to STK-009 and every derived requirement would have to be revisited.</t>
        </is>
      </c>
      <c r="E8" s="72" t="inlineStr">
        <is>
          <t>Any lecturer feedback that questions the client organisation rather than the analysis.</t>
        </is>
      </c>
      <c r="F8" s="73" t="n">
        <v>1</v>
      </c>
      <c r="G8" s="73" t="n">
        <v>3</v>
      </c>
      <c r="H8" s="74">
        <f>F8*G8</f>
        <v/>
      </c>
      <c r="I8" s="69">
        <f>IF($H8="","",IF($H8&gt;=6,"High",IF($H8&gt;=3,"Medium","Low")))</f>
        <v/>
      </c>
      <c r="J8" s="72" t="inlineStr">
        <is>
          <t>Confirm the context with the lecturer acting as proxy client at the earliest review point — the check costs nothing and removes the risk entirely. Until then keep the derivation visible in the RTM so the blast radius of a reversal is known rather than discovered.</t>
        </is>
      </c>
      <c r="K8" s="72" t="inlineStr">
        <is>
          <t>Rework the stakeholder register and re-derive requirements through controlled change with a full impact assessment; retain the identifiers and mark superseded entries Withdrawn rather than renumbering.</t>
        </is>
      </c>
      <c r="L8" s="75" t="inlineStr">
        <is>
          <t>Ethan</t>
        </is>
      </c>
      <c r="M8" s="75" t="inlineStr">
        <is>
          <t>Open</t>
        </is>
      </c>
      <c r="N8" s="62" t="inlineStr">
        <is>
          <t>DEC-001 · STK-001…STK-009 · CON-007 · RTM</t>
        </is>
      </c>
      <c r="O8" s="62" t="inlineStr">
        <is>
          <t>Reviewed at M2 — no change.</t>
        </is>
      </c>
      <c r="P8" s="8" t="n"/>
    </row>
    <row r="9" ht="66" customHeight="1">
      <c r="B9" s="65" t="inlineStr">
        <is>
          <t>RSK-007</t>
        </is>
      </c>
      <c r="C9" s="66" t="inlineStr">
        <is>
          <t>The technology stack selected at M2 is unavailable or unsupported in the institutional environment.</t>
        </is>
      </c>
      <c r="D9" s="66" t="inlineStr">
        <is>
          <t>CON-008 records that Belgium Campus does not guarantee availability or support for any chosen language, framework, service or platform. DEC-002 defers the choice and names environment verification as evidence still required.</t>
        </is>
      </c>
      <c r="E9" s="66" t="inlineStr">
        <is>
          <t>M2 planning that names a stack before the availability check has been run.</t>
        </is>
      </c>
      <c r="F9" s="67" t="n">
        <v>1</v>
      </c>
      <c r="G9" s="67" t="n">
        <v>3</v>
      </c>
      <c r="H9" s="68">
        <f>F9*G9</f>
        <v/>
      </c>
      <c r="I9" s="69">
        <f>IF($H9="","",IF($H9&gt;=6,"High",IF($H9&gt;=3,"Medium","Low")))</f>
        <v/>
      </c>
      <c r="J9" s="66" t="inlineStr">
        <is>
          <t>Turn the availability check on the BC Desktop platform into a dated task with a named owner rather than an open evidence note, and run it before the M2 decision rather than alongside it. Keep candidate stacks inside CON-004 so that the fallback is genuinely usable by three part-time students.</t>
        </is>
      </c>
      <c r="K9" s="66" t="inlineStr">
        <is>
          <t>Fall back to a stack already proven available in the environment, accept the reduced requirement fit, and record the trade-off in the M2 ADR.</t>
        </is>
      </c>
      <c r="L9" s="70" t="inlineStr">
        <is>
          <t>Ethan</t>
        </is>
      </c>
      <c r="M9" s="70" t="inlineStr">
        <is>
          <t>Open — re-scored at M2</t>
        </is>
      </c>
      <c r="N9" s="60" t="inlineStr">
        <is>
          <t>CON-008 · DEC-002 · CON-004 · FEC-004</t>
        </is>
      </c>
      <c r="O9" s="60" t="inlineStr">
        <is>
          <t>Stack selected (DEC-002: MERN with MongoDB Atlas). The application builds and its test suite runs on Node 22 on team machines, and CI (#52) adds a hosted-runner build on every pull request. Probability reduced 2 → 1 (priority 6 → 3). Residual: a platform difference found only at deployment (DEC-003, RSK-019).</t>
        </is>
      </c>
      <c r="P9" s="8" t="n"/>
    </row>
    <row r="10" ht="79.2" customHeight="1">
      <c r="B10" s="71" t="inlineStr">
        <is>
          <t>RSK-008</t>
        </is>
      </c>
      <c r="C10" s="72" t="inlineStr">
        <is>
          <t>The hosting platform cannot satisfy the security and personal-information constraints within the cost constraint.</t>
        </is>
      </c>
      <c r="D10" s="72" t="inlineStr">
        <is>
          <t>DEC-003 records that free tiers commonly omit audit log retention, backups and private networking, which CON-006 and CON-007 require. The conflict is documented but unresolved, and SCP-014 and SCP-015 both depend on it.</t>
        </is>
      </c>
      <c r="E10" s="72" t="inlineStr">
        <is>
          <t>A candidate platform shortlisted on price before its audit and backup limits are documented.</t>
        </is>
      </c>
      <c r="F10" s="73" t="n">
        <v>2</v>
      </c>
      <c r="G10" s="73" t="n">
        <v>3</v>
      </c>
      <c r="H10" s="74">
        <f>F10*G10</f>
        <v/>
      </c>
      <c r="I10" s="69">
        <f>IF($H10="","",IF($H10&gt;=6,"High",IF($H10&gt;=3,"Medium","Low")))</f>
        <v/>
      </c>
      <c r="J10" s="72" t="inlineStr">
        <is>
          <t>Make the free-tier limits research a dated deliverable before the M2 architecture is fixed, covering audit log retention, backup and likely operational cost beyond the educational context. Specify the audit requirement behind SCP-008 measurably now, so platforms can be assessed against a stated need rather than chosen and then justified.</t>
        </is>
      </c>
      <c r="K10" s="72" t="inlineStr">
        <is>
          <t>Accept a paid tier and record the operational cost against STK-008, or reduce the audit retention period through controlled change with STK-009 consulted.</t>
        </is>
      </c>
      <c r="L10" s="75" t="inlineStr">
        <is>
          <t>Ethan</t>
        </is>
      </c>
      <c r="M10" s="75" t="inlineStr">
        <is>
          <t>Closed — superseded by RSK-019, RSK-020</t>
        </is>
      </c>
      <c r="N10" s="62" t="inlineStr">
        <is>
          <t>DEC-003 · CON-003 · CON-006 · CON-007 · SCP-008 · SCP-014 · SCP-015 · FEC-005</t>
        </is>
      </c>
      <c r="O10" s="62" t="inlineStr">
        <is>
          <t>Closed at M2. The conflict it described is resolved by DEC-003 (Hostinger VPS, Atlas cluster per environment) and DEC-010 (operated 12-hourly backup). Its residual exposure is carried by RSK-019 (free-cluster ceilings) and RSK-020 (backup silently stops). Row retained; identifier not reused (PED §1.4).</t>
        </is>
      </c>
      <c r="P10" s="8" t="n"/>
    </row>
    <row r="11" ht="92.40000000000001" customHeight="1">
      <c r="B11" s="65" t="inlineStr">
        <is>
          <t>RSK-009</t>
        </is>
      </c>
      <c r="C11" s="66" t="inlineStr">
        <is>
          <t>Role-based access control is specified but only partially delivered, so the CFL-002 restriction on security-category requests is not honoured.</t>
        </is>
      </c>
      <c r="D11" s="66" t="inlineStr">
        <is>
          <t>SCP-012 and DEC-004 correctly treat authorisation as architecturally significant, but it is realised at M2 and M3 across every view and status transition. Partially applied authorisation is indistinguishable from working software until the wrong person sees a security request.</t>
        </is>
      </c>
      <c r="E11" s="66" t="inlineStr">
        <is>
          <t>Any view or status transition specified without naming which role may reach it.</t>
        </is>
      </c>
      <c r="F11" s="67" t="n">
        <v>2</v>
      </c>
      <c r="G11" s="67" t="n">
        <v>3</v>
      </c>
      <c r="H11" s="68">
        <f>F11*G11</f>
        <v/>
      </c>
      <c r="I11" s="69">
        <f>IF($H11="","",IF($H11&gt;=6,"High",IF($H11&gt;=3,"Medium","Low")))</f>
        <v/>
      </c>
      <c r="J11" s="66" t="inlineStr">
        <is>
          <t>Specify the CFL-002 behaviour as testable acceptance criteria now — a requester on a security-category request sees only received, in progress and closed, and a staff member outside the security role cannot retrieve detail or comments — so it is verifiable at M3 rather than asserted. Make authorisation a required review dimension on every pull request touching a view or a transition.</t>
        </is>
      </c>
      <c r="K11" s="66" t="inlineStr">
        <is>
          <t>Restrict the security category to the security role entirely until the role model is verified, accepting the reduced requester visibility and recording it against STK-001.</t>
        </is>
      </c>
      <c r="L11" s="70" t="inlineStr">
        <is>
          <t>Robert</t>
        </is>
      </c>
      <c r="M11" s="70" t="inlineStr">
        <is>
          <t>Open</t>
        </is>
      </c>
      <c r="N11" s="60" t="inlineStr">
        <is>
          <t>CFL-002 · SCP-012 · DEC-004 · DEC-012 · CON-006 · STK-006 · STK-007 · FEC-001 · C-01 · OI-15</t>
        </is>
      </c>
      <c r="O11" s="60" t="inlineStr">
        <is>
          <t>Unchanged score, now load-bearing. DEC-012 enforcement point 3 (field-level serialiser) rests on the CFL-002 resolution, still Proposed (condition C-01 open). PR #62 review B-1 found security-category requests could not be closed or rejected by anyone; fixed there by giving the Security Officer disposition rights, recorded for confirmation under OI-15.</t>
        </is>
      </c>
      <c r="P11" s="8" t="n"/>
    </row>
    <row r="12" ht="66" customHeight="1">
      <c r="B12" s="71" t="inlineStr">
        <is>
          <t>RSK-010</t>
        </is>
      </c>
      <c r="C12" s="72" t="inlineStr">
        <is>
          <t>Quality thresholds baselined at M1 prove unachievable on the stack and platform chosen at M2.</t>
        </is>
      </c>
      <c r="D12" s="72" t="inlineStr">
        <is>
          <t>DEC-002 and DEC-003 both defer, while CON-005 requires quality attributes to be defined measurably now and evidenced later. The thresholds are therefore committed before anything is known about what will run them.</t>
        </is>
      </c>
      <c r="E12" s="72" t="inlineStr">
        <is>
          <t>A quality attribute whose threshold was chosen without a stated measurement condition.</t>
        </is>
      </c>
      <c r="F12" s="73" t="n">
        <v>2</v>
      </c>
      <c r="G12" s="73" t="n">
        <v>2</v>
      </c>
      <c r="H12" s="74">
        <f>F12*G12</f>
        <v/>
      </c>
      <c r="I12" s="69">
        <f>IF($H12="","",IF($H12&gt;=6,"High",IF($H12&gt;=3,"Medium","Low")))</f>
        <v/>
      </c>
      <c r="J12" s="72" t="inlineStr">
        <is>
          <t>State every quality attribute with its metric, threshold, condition and verification method, and keep thresholds evidence-based rather than aspirational. Make the M2 stack and platform decisions explicitly assessed against the baselined quality set rather than chosen first and reconciled afterwards.</t>
        </is>
      </c>
      <c r="K12" s="72" t="inlineStr">
        <is>
          <t>Relax a threshold only through controlled change with the impact and justification recorded — never by silent redefinition.</t>
        </is>
      </c>
      <c r="L12" s="75" t="inlineStr">
        <is>
          <t>Robert</t>
        </is>
      </c>
      <c r="M12" s="75" t="inlineStr">
        <is>
          <t>Open</t>
        </is>
      </c>
      <c r="N12" s="62" t="inlineStr">
        <is>
          <t>CON-005 · DEC-002 · DEC-003 · FEC-003</t>
        </is>
      </c>
      <c r="O12" s="62" t="inlineStr">
        <is>
          <t>Reviewed at M2 — no change.</t>
        </is>
      </c>
      <c r="P12" s="8" t="n"/>
    </row>
    <row r="13" ht="66" customHeight="1">
      <c r="B13" s="65" t="inlineStr">
        <is>
          <t>RSK-011</t>
        </is>
      </c>
      <c r="C13" s="66" t="inlineStr">
        <is>
          <t>Mobile web usability fails the technicians who must update status from where the work is done.</t>
        </is>
      </c>
      <c r="D13" s="66" t="inlineStr">
        <is>
          <t>DEC-007 excludes a native application and places a usability obligation on the web interface for mobile viewports. STK-002's stated need is to update status away from a desk, on institutional wireless coverage.</t>
        </is>
      </c>
      <c r="E13" s="66" t="inlineStr">
        <is>
          <t>A technician status-update path that has only been exercised on a desktop viewport.</t>
        </is>
      </c>
      <c r="F13" s="67" t="n">
        <v>2</v>
      </c>
      <c r="G13" s="67" t="n">
        <v>2</v>
      </c>
      <c r="H13" s="68">
        <f>F13*G13</f>
        <v/>
      </c>
      <c r="I13" s="69">
        <f>IF($H13="","",IF($H13&gt;=6,"High",IF($H13&gt;=3,"Medium","Low")))</f>
        <v/>
      </c>
      <c r="J13" s="66" t="inlineStr">
        <is>
          <t>Specify the mobile-viewport obligation DEC-007 creates as a measurable quality attribute with a device class and network condition, as CON-005 requires, rather than leaving it as a design intention. Make the status-transition path on a phone-sized viewport an acceptance criterion for SCP-008.</t>
        </is>
      </c>
      <c r="K13" s="66" t="inlineStr">
        <is>
          <t>Reduce the technician path to a minimal status-update view, accepting reduced functionality on mobile and recording it against STK-002 and STK-003.</t>
        </is>
      </c>
      <c r="L13" s="70" t="inlineStr">
        <is>
          <t>Robert</t>
        </is>
      </c>
      <c r="M13" s="70" t="inlineStr">
        <is>
          <t>Open</t>
        </is>
      </c>
      <c r="N13" s="60" t="inlineStr">
        <is>
          <t>DEC-007 · SCP-013 · SCP-008 · STK-002 · STK-003 · CON-005</t>
        </is>
      </c>
      <c r="O13" s="60" t="inlineStr">
        <is>
          <t>Reviewed at M2 — no change.</t>
        </is>
      </c>
      <c r="P13" s="8" t="n"/>
    </row>
    <row r="14" ht="66" customHeight="1">
      <c r="B14" s="71" t="inlineStr">
        <is>
          <t>RSK-012</t>
        </is>
      </c>
      <c r="C14" s="72" t="inlineStr">
        <is>
          <t>Traceability decays after baseline because merged changes do not update the RTM, breaking the source-to-acceptance chain.</t>
        </is>
      </c>
      <c r="D14" s="72" t="inlineStr">
        <is>
          <t>The RTM's design, test and release columns are only populated from M2 onward, so it is easy to merge a change and leave the matrix behind. CON-001 requires controlled change, which depends on the trace being current.</t>
        </is>
      </c>
      <c r="E14" s="72" t="inlineStr">
        <is>
          <t>A merged pull request that names no requirement or scope ID.</t>
        </is>
      </c>
      <c r="F14" s="73" t="n">
        <v>2</v>
      </c>
      <c r="G14" s="73" t="n">
        <v>3</v>
      </c>
      <c r="H14" s="74">
        <f>F14*G14</f>
        <v/>
      </c>
      <c r="I14" s="69">
        <f>IF($H14="","",IF($H14&gt;=6,"High",IF($H14&gt;=3,"Medium","Low")))</f>
        <v/>
      </c>
      <c r="J14" s="72" t="inlineStr">
        <is>
          <t>Make the RTM update part of the definition of done for a controlled artefact and require the affected IDs in the pull request template. Treat identifiers as permanent — retire an entry as Withdrawn rather than reusing its number, which matters most if RSK-006 is ever realised.</t>
        </is>
      </c>
      <c r="K14" s="72" t="inlineStr">
        <is>
          <t>Reconstruct the trace from pull request history, re-review it, and record the gap in the version history rather than back-dating entries.</t>
        </is>
      </c>
      <c r="L14" s="75" t="inlineStr">
        <is>
          <t>Robert</t>
        </is>
      </c>
      <c r="M14" s="75" t="inlineStr">
        <is>
          <t>Open — mitigated</t>
        </is>
      </c>
      <c r="N14" s="62" t="inlineStr">
        <is>
          <t>CON-001 · RTM · RSK-006 · Master Brief s.11</t>
        </is>
      </c>
      <c r="O14" s="62" t="inlineStr">
        <is>
          <t>Mitigated, not closed. DEC-011 accepted that no single location states what a transition does; bounded by the single subscription registry (src/events/subscribers/index.js, listSubscriptions() asserted by test). RTM extended to v0.5; the pull request template (#53) will require the affected IDs. Residual: a merged change that skips the RTM update.</t>
        </is>
      </c>
      <c r="P14" s="8" t="n"/>
    </row>
    <row r="15" ht="66" customHeight="1">
      <c r="B15" s="65" t="inlineStr">
        <is>
          <t>RSK-013</t>
        </is>
      </c>
      <c r="C15" s="66" t="inlineStr">
        <is>
          <t>The two-reviewer approval rule stalls the protected main branch on a three-member team.</t>
        </is>
      </c>
      <c r="D15" s="66" t="inlineStr">
        <is>
          <t>CON-004 records exactly three students working part-time alongside other modules. The Master Brief requires two approvals from members other than the author and does not accept self-approval, so every pull request needs both other members and one absence blocks all merges.</t>
        </is>
      </c>
      <c r="E15" s="66" t="inlineStr">
        <is>
          <t>Pull requests open longer than the review turnaround agreed in the working agreement.</t>
        </is>
      </c>
      <c r="F15" s="67" t="n">
        <v>2</v>
      </c>
      <c r="G15" s="67" t="n">
        <v>2</v>
      </c>
      <c r="H15" s="68">
        <f>F15*G15</f>
        <v/>
      </c>
      <c r="I15" s="69">
        <f>IF($H15="","",IF($H15&gt;=6,"High",IF($H15&gt;=3,"Medium","Low")))</f>
        <v/>
      </c>
      <c r="J15" s="66" t="inlineStr">
        <is>
          <t>Fix a review turnaround expectation in the Team Working Agreement, keep pull requests small and single-purpose so review is cheap, and work on parallel branches so one blocked request does not block the milestone.</t>
        </is>
      </c>
      <c r="K15" s="66" t="inlineStr">
        <is>
          <t>Escalate to the lecturer for a recorded exception rather than merging unapproved work into main.</t>
        </is>
      </c>
      <c r="L15" s="70" t="inlineStr">
        <is>
          <t>Christiaan</t>
        </is>
      </c>
      <c r="M15" s="70" t="inlineStr">
        <is>
          <t>Open</t>
        </is>
      </c>
      <c r="N15" s="60" t="inlineStr">
        <is>
          <t>CON-004 · CON-002 · Master Brief s.9</t>
        </is>
      </c>
      <c r="O15" s="60" t="inlineStr">
        <is>
          <t>Observed at M2: pull requests #61 and #62 were reviewed by both other members on the same day, with written review records. Review turnaround is holding; small single-purpose pull requests remain the mitigation.</t>
        </is>
      </c>
      <c r="P15" s="8" t="n"/>
    </row>
    <row r="16" ht="66" customHeight="1">
      <c r="B16" s="71" t="inlineStr">
        <is>
          <t>RSK-014</t>
        </is>
      </c>
      <c r="C16" s="72" t="inlineStr">
        <is>
          <t>The AI productivity assumption underpinning the schedule fails to deliver the required multiplier, and the remaining critical path overruns the delivery window.</t>
        </is>
      </c>
      <c r="D16" s="72" t="inlineStr">
        <is>
          <t>Charter §4.6 records that closing the capacity gap requires a 6.39× multiplier on the ~61% of remaining work judged AI-accelerable. The figure is derived from the schedule rather than measured, and the fixed work alone consumes 4.46 of the 5.57 available weeks.</t>
        </is>
      </c>
      <c r="E16" s="72" t="inlineStr">
        <is>
          <t>Delivered scope at the 29 September week-3 gate falling below the burn implied by m = 6.39×.</t>
        </is>
      </c>
      <c r="F16" s="73" t="n">
        <v>3</v>
      </c>
      <c r="G16" s="73" t="n">
        <v>3</v>
      </c>
      <c r="H16" s="74">
        <f>F16*G16</f>
        <v/>
      </c>
      <c r="I16" s="69">
        <f>IF($H16="","",IF($H16&gt;=6,"High",IF($H16&gt;=3,"Medium","Low")))</f>
        <v/>
      </c>
      <c r="J16" s="72" t="inlineStr">
        <is>
          <t>Adopt the CON-013 week-3 gate as a velocity checkpoint with a scope-reduction order agreed in advance — Low band first, then Medium, never the CON-001 floor without a change request to STK-010. Record the measurement in the Decision Log either way.</t>
        </is>
      </c>
      <c r="K16" s="72" t="inlineStr">
        <is>
          <t>Trigger the CON-009 scope reduction against the pre-agreed order and record the descope as a controlled change rather than an overrun.</t>
        </is>
      </c>
      <c r="L16" s="75" t="inlineStr">
        <is>
          <t>Robert</t>
        </is>
      </c>
      <c r="M16" s="75" t="inlineStr">
        <is>
          <t>Open</t>
        </is>
      </c>
      <c r="N16" s="62" t="inlineStr">
        <is>
          <t>CON-009 · CON-013 · CON-004 · Charter §4.6 · RK-03 · RK-11 · A13 · A14 · AI Usage Register</t>
        </is>
      </c>
      <c r="O16" s="62" t="inlineStr">
        <is>
          <t>Reviewed at M2 — no change.</t>
        </is>
      </c>
      <c r="P16" s="8" t="n"/>
    </row>
    <row r="17" ht="66.59999999999999" customHeight="1" thickBot="1">
      <c r="B17" s="76" t="inlineStr">
        <is>
          <t>RSK-015</t>
        </is>
      </c>
      <c r="C17" s="77" t="inlineStr">
        <is>
          <t>DEC-002 and DEC-003 are not closed by 22 September, so the CON-013 week-3 demonstration cannot be met.</t>
        </is>
      </c>
      <c r="D17" s="77" t="inlineStr">
        <is>
          <t>CON-013 requires demonstrable frontend, backend and API progress by 29 September, which is unreachable without a committed stack and deployment target. Both decisions were deliberately deferred at M1 for want of evidence, leaving 13 days to gather it.</t>
        </is>
      </c>
      <c r="E17" s="77" t="inlineStr">
        <is>
          <t>15 September reached with no candidate stack shortlist and no free-tier limits documented.</t>
        </is>
      </c>
      <c r="F17" s="78" t="n">
        <v>2</v>
      </c>
      <c r="G17" s="78" t="n">
        <v>3</v>
      </c>
      <c r="H17" s="79">
        <f>F17*G17</f>
        <v/>
      </c>
      <c r="I17" s="80">
        <f>IF($H17="","",IF($H17&gt;=6,"High",IF($H17&gt;=3,"Medium","Low")))</f>
        <v/>
      </c>
      <c r="J17" s="77" t="inlineStr">
        <is>
          <t>Fix 22 September as a hard decision deadline; time-box evaluation to three candidates; restrict candidates to stacks meeting CON-004 familiarity and verified available on BC Desktop under CON-008.</t>
        </is>
      </c>
      <c r="K17" s="77" t="inlineStr">
        <is>
          <t>Adopt a stack already proven available in the environment and record the constrained choice with its consequences in the Decision Log.</t>
        </is>
      </c>
      <c r="L17" s="81" t="inlineStr">
        <is>
          <t>Ethan</t>
        </is>
      </c>
      <c r="M17" s="81" t="inlineStr">
        <is>
          <t>Materialised — consequence absorbed</t>
        </is>
      </c>
      <c r="N17" s="64" t="inlineStr">
        <is>
          <t>DEC-002 · DEC-003 · CON-013 · CON-008 · CON-003 · RK-01 · RK-02 · RK-12 · FEC-004 · FEC-005 · RSK-007 · RSK-008</t>
        </is>
      </c>
      <c r="O17" s="64" t="inlineStr">
        <is>
          <t>Materialised, not avoided. DEC-002 and DEC-003 closed on 29/09/2026, after the 22/09/2026 working deadline; the consequence is recorded against conditions C-04 and C-05 (Appendix B). Row retained as a record of the realised risk; no further mitigation applies.</t>
        </is>
      </c>
      <c r="P17" s="8" t="n"/>
    </row>
    <row r="18" ht="66.59999999999999" customHeight="1">
      <c r="B18" s="76" t="inlineStr">
        <is>
          <t>RSK-016</t>
        </is>
      </c>
      <c r="C18" s="77" t="inlineStr">
        <is>
          <t>Layer or module boundaries erode — a route queries the data store directly, or one module reads another module's collections — and the ASR-01 protection is lost without any functional symptom.</t>
        </is>
      </c>
      <c r="D18" s="77" t="inlineStr">
        <is>
          <t>Schedule pressure (RSK-014) makes a shortcut attractive, and a boundary bypass works functionally, so nothing fails visibly.</t>
        </is>
      </c>
      <c r="E18" s="77" t="inlineStr">
        <is>
          <t>A pull request introducing an import from the data access layer into the presentation layer, or a cross-module collection read.</t>
        </is>
      </c>
      <c r="F18" s="78" t="n">
        <v>2</v>
      </c>
      <c r="G18" s="78" t="n">
        <v>3</v>
      </c>
      <c r="H18" s="79">
        <f>F18*G18</f>
        <v/>
      </c>
      <c r="I18" s="80">
        <f>IF($H18="","",IF($H18&gt;=6,"High",IF($H18&gt;=3,"Medium","Low")))</f>
        <v/>
      </c>
      <c r="J18" s="77" t="inlineStr">
        <is>
          <t>Automated dependency-rule check in CI (#52 follow-up); a boundary item in the pull request template (#53); reviewers check boundary compliance as part of meaningful review.</t>
        </is>
      </c>
      <c r="K18" s="77" t="inlineStr">
        <is>
          <t>Revert the offending change through the pull request process, add the missing rule to the CI check, and record the gap in the version history.</t>
        </is>
      </c>
      <c r="L18" s="81" t="inlineStr">
        <is>
          <t>Christiaan</t>
        </is>
      </c>
      <c r="M18" s="81" t="inlineStr">
        <is>
          <t>Open</t>
        </is>
      </c>
      <c r="N18" s="64" t="inlineStr">
        <is>
          <t>DEC-014 · ASR-01 · ASR-05 · NFR-1.7 · CON-012 · RSK-014</t>
        </is>
      </c>
      <c r="O18" s="64" t="inlineStr">
        <is>
          <t>New at M2 — raised by the architecture baseline (PED §6A.9, DEC-014).</t>
        </is>
      </c>
      <c r="P18" s="8" t="n"/>
    </row>
    <row r="19" ht="66.59999999999999" customHeight="1">
      <c r="B19" s="76" t="inlineStr">
        <is>
          <t>RSK-017</t>
        </is>
      </c>
      <c r="C19" s="77" t="inlineStr">
        <is>
          <t>A single application instance on a single host fails to meet the 99% operating-window availability required by NFR-2.5.</t>
        </is>
      </c>
      <c r="D19" s="77" t="inlineStr">
        <is>
          <t>ASR-06 and CON-003 favour one deployable unit on one host; no redundancy exists at the application tier.</t>
        </is>
      </c>
      <c r="E19" s="77" t="inlineStr">
        <is>
          <t>Any unplanned outage between 07:00 and 18:00 on a weekday.</t>
        </is>
      </c>
      <c r="F19" s="78" t="n">
        <v>2</v>
      </c>
      <c r="G19" s="78" t="n">
        <v>2</v>
      </c>
      <c r="H19" s="79">
        <f>F19*G19</f>
        <v/>
      </c>
      <c r="I19" s="80">
        <f>IF($H19="","",IF($H19&gt;=6,"High",IF($H19&gt;=3,"Medium","Low")))</f>
        <v/>
      </c>
      <c r="J19" s="77" t="inlineStr">
        <is>
          <t>Keep the application tier stateless (ASR-04, NFR-2.7; sessions held in MongoDB per DEC-003) so a second instance is a configuration change; the health endpoint (NFR-1.6) gives early detection.</t>
        </is>
      </c>
      <c r="K19" s="77" t="inlineStr">
        <is>
          <t>Redeploy from the last tagged release; if outages recur, add a second instance behind a load balancer and record the cost against STK-008.</t>
        </is>
      </c>
      <c r="L19" s="81" t="inlineStr">
        <is>
          <t>Christiaan</t>
        </is>
      </c>
      <c r="M19" s="81" t="inlineStr">
        <is>
          <t>Open</t>
        </is>
      </c>
      <c r="N19" s="64" t="inlineStr">
        <is>
          <t>DEC-014 · DEC-003 · ASR-04 · ASR-06 · NFR-2.5 · NFR-1.6 · CON-003</t>
        </is>
      </c>
      <c r="O19" s="64" t="inlineStr">
        <is>
          <t>New at M2 — raised by the architecture baseline (PED §6A.9, DEC-014).</t>
        </is>
      </c>
      <c r="P19" s="8" t="n"/>
    </row>
    <row r="20" ht="66.59999999999999" customHeight="1">
      <c r="B20" s="76" t="inlineStr">
        <is>
          <t>RSK-018</t>
        </is>
      </c>
      <c r="C20" s="77" t="inlineStr">
        <is>
          <t>The Atlas audit trigger is suspended and its resume token falls out of the oplog, so auditLog entries for that interval are permanently lost and NFR-1.9's unbypassable audit has a silent gap.</t>
        </is>
      </c>
      <c r="D20" s="77" t="inlineStr">
        <is>
          <t>DEC-016 makes auditLog eventually consistent via a change-stream trigger. MongoDB documents that a trigger resumed without its token 'does not process any missed past events'. The free cluster's oplog is small and not configurable.</t>
        </is>
      </c>
      <c r="E20" s="77" t="inlineStr">
        <is>
          <t>Atlas trigger status shows Suspended; recordedAt - occurredAt lag above 60 s; gap-detection query finds requests whose version exceeds their audited updates.</t>
        </is>
      </c>
      <c r="F20" s="78" t="n">
        <v>2</v>
      </c>
      <c r="G20" s="78" t="n">
        <v>3</v>
      </c>
      <c r="H20" s="79">
        <f>F20*G20</f>
        <v/>
      </c>
      <c r="I20" s="80">
        <f>IF($H20="","",IF($H20&gt;=6,"High",IF($H20&gt;=3,"Medium","Low")))</f>
        <v/>
      </c>
      <c r="J20" s="77" t="inlineStr">
        <is>
          <t>Atlas trigger-suspension alerting; runbook to resume within the oplog window; idempotent audit function (unique eventId) so a resume can safely replay; gap-detection query run with the weekly restore test.</t>
        </is>
      </c>
      <c r="K20" s="77" t="inlineStr">
        <is>
          <t>Record the unaudited interval as an incident; reconstruct attribution from requestHistory for that interval (within retention) and disclose the gap in the audit evidence rather than back-filling.</t>
        </is>
      </c>
      <c r="L20" s="81" t="inlineStr">
        <is>
          <t>Robert</t>
        </is>
      </c>
      <c r="M20" s="81" t="inlineStr">
        <is>
          <t>Open</t>
        </is>
      </c>
      <c r="N20" s="64" t="inlineStr">
        <is>
          <t>DEC-016 · NFR-1.9 · CON-015 · DEC-002 · RSK-012</t>
        </is>
      </c>
      <c r="O20" s="64" t="inlineStr">
        <is>
          <t>New at M2 — raised by the data and technology baseline (PED §6B/§6C, DEC-016).</t>
        </is>
      </c>
    </row>
    <row r="21" ht="66.59999999999999" customHeight="1">
      <c r="B21" s="76" t="inlineStr">
        <is>
          <t>RSK-019</t>
        </is>
      </c>
      <c r="C21" s="77" t="inlineStr">
        <is>
          <t>The Atlas free-cluster throughput ceiling (100 ops/s) or storage limit (0.5 GB) is reached, degrading response times below NFR-2.1/NFR-2.4 or refusing writes.</t>
        </is>
      </c>
      <c r="D21" s="77" t="inlineStr">
        <is>
          <t>DEC-010 retains the free cluster in production. A status transition costs about 9 operations including trigger and subscriber writes, which caps sustained transitions at about 11/s; CON-010's reasoning toward 1 000 users does not fit on M0.</t>
        </is>
      </c>
      <c r="E21" s="77" t="inlineStr">
        <is>
          <t>M3 load test above 70% of 100 ops/s; storage above 60% of 0.5 GB; Atlas throttling or cooldown events.</t>
        </is>
      </c>
      <c r="F21" s="78" t="n">
        <v>2</v>
      </c>
      <c r="G21" s="78" t="n">
        <v>2</v>
      </c>
      <c r="H21" s="79">
        <f>F21*G21</f>
        <v/>
      </c>
      <c r="I21" s="80">
        <f>IF($H21="","",IF($H21&gt;=6,"High",IF($H21&gt;=3,"Medium","Low")))</f>
        <v/>
      </c>
      <c r="J21" s="77" t="inlineStr">
        <is>
          <t>Storage and throughput arithmetic in the data baseline s.7; one free cluster per environment so environments do not share limits; DEC-010 upgrade triggers recorded; measure in the M3 NFR-2.4 load test.</t>
        </is>
      </c>
      <c r="K21" s="77" t="inlineStr">
        <is>
          <t>Move production to the lowest paid tier through controlled change (cost recorded against STK-008 under CON-003).</t>
        </is>
      </c>
      <c r="L21" s="81" t="inlineStr">
        <is>
          <t>Robert</t>
        </is>
      </c>
      <c r="M21" s="81" t="inlineStr">
        <is>
          <t>Open</t>
        </is>
      </c>
      <c r="N21" s="64" t="inlineStr">
        <is>
          <t>DEC-010 · DEC-003 · NFR-2.1 · NFR-2.4 · CON-010 · OI-10</t>
        </is>
      </c>
      <c r="O21" s="64" t="inlineStr">
        <is>
          <t>New at M2 — raised by DEC-010 (PED §6C, §10.8).</t>
        </is>
      </c>
    </row>
    <row r="22" ht="66.59999999999999" customHeight="1">
      <c r="B22" s="76" t="inlineStr">
        <is>
          <t>RSK-020</t>
        </is>
      </c>
      <c r="C22" s="77" t="inlineStr">
        <is>
          <t>The scheduled backup silently stops (server down, credential rotated, GPG key expired), so the NFR-1.5 recovery point is no longer met and nobody knows until a restore is needed.</t>
        </is>
      </c>
      <c r="D22" s="77" t="inlineStr">
        <is>
          <t>DEC-010 makes NFR-1.5 an operated control on an institutional server outside the team's control (CON-008) rather than a platform capability.</t>
        </is>
      </c>
      <c r="E22" s="77" t="inlineStr">
        <is>
          <t>Missing or failed entry in backup.log; no MAILTO success; weekly restore test fails or is skipped.</t>
        </is>
      </c>
      <c r="F22" s="78" t="n">
        <v>2</v>
      </c>
      <c r="G22" s="78" t="n">
        <v>3</v>
      </c>
      <c r="H22" s="79">
        <f>F22*G22</f>
        <v/>
      </c>
      <c r="I22" s="80">
        <f>IF($H22="","",IF($H22&gt;=6,"High",IF($H22&gt;=3,"Medium","Low")))</f>
        <v/>
      </c>
      <c r="J22" s="77" t="inlineStr">
        <is>
          <t>Script exits non-zero on any failure with MAILTO alerting; a 12-hour cadence tolerates one missed run within 24 hours; weekly restore test with consistency check; backup log reviewed at the team sync.</t>
        </is>
      </c>
      <c r="K22" s="77" t="inlineStr">
        <is>
          <t>Take an immediate manual dump from a team machine with full-disk encryption; record the exposure window against NFR-1.5; invoke the DEC-010 upgrade trigger if the server is unavailable for more than 72 hours.</t>
        </is>
      </c>
      <c r="L22" s="81" t="inlineStr">
        <is>
          <t>Robert</t>
        </is>
      </c>
      <c r="M22" s="81" t="inlineStr">
        <is>
          <t>Open</t>
        </is>
      </c>
      <c r="N22" s="64" t="inlineStr">
        <is>
          <t>DEC-010 · NFR-1.5 · CON-008 · CON-004 · E1</t>
        </is>
      </c>
      <c r="O22" s="64" t="inlineStr">
        <is>
          <t>New at M2 — raised by DEC-010 (PED §10.8).</t>
        </is>
      </c>
    </row>
    <row r="23" ht="66.59999999999999" customHeight="1">
      <c r="B23" s="76" t="inlineStr">
        <is>
          <t>RSK-021</t>
        </is>
      </c>
      <c r="C23" s="77" t="inlineStr">
        <is>
          <t>An attacker guesses a user's password through POST /api/v1/sessions, because login has no throttling or lockout, and acts on requests with that user's roles.</t>
        </is>
      </c>
      <c r="D23" s="77" t="inlineStr">
        <is>
          <t>DEC-018 deliberately sets no throttling or lockout threshold: the record states no figure, and choosing one would invent a value. The only rate limit is the scrypt cost per process. The record also states no password-strength requirement.</t>
        </is>
      </c>
      <c r="E23" s="77" t="inlineStr">
        <is>
          <t>Repeated auth.login.failure events in auditLog for one account or one source within minutes; CON-019 adversarial testing targeting login; any successful login following a run of failures.</t>
        </is>
      </c>
      <c r="F23" s="78" t="n">
        <v>2</v>
      </c>
      <c r="G23" s="78" t="n">
        <v>3</v>
      </c>
      <c r="H23" s="79">
        <f>F23*G23</f>
        <v/>
      </c>
      <c r="I23" s="80">
        <f>IF($H23="","",IF($H23&gt;=6,"High",IF($H23&gt;=3,"Medium","Low")))</f>
        <v/>
      </c>
      <c r="J23" s="77" t="inlineStr">
        <is>
          <t>Slow scrypt hash caps guesses per process (DEC-018 §2). Identical 401 and a dummy hash for unknown emails, so accounts cannot be enumerated. Every attempt is logged (NFR-1.4). Any control the team adopts must come with a figure from a defensible source (for example OWASP ASVS) and be recorded as a DEC.</t>
        </is>
      </c>
      <c r="K23" s="77" t="inlineStr">
        <is>
          <t>Revoke the affected account (FR-1.4 epoch terminates its sessions); review its auditLog trail; adopt a throttling control through a DEC. Weigh account lockout carefully: a lockout threshold gives an attacker a lever to deny service to real users by deliberately failing their logins, so per-source throttling or progressive delay may be preferable to per-account lockout.</t>
        </is>
      </c>
      <c r="L23" s="81" t="inlineStr">
        <is>
          <t>Ethan</t>
        </is>
      </c>
      <c r="M23" s="81" t="inlineStr">
        <is>
          <t>Open</t>
        </is>
      </c>
      <c r="N23" s="64" t="inlineStr">
        <is>
          <t>DEC-018 · NFR-1.4 · NFR-3.1 · CON-019 · CON-006 · FR-1.4</t>
        </is>
      </c>
      <c r="O23" s="64" t="inlineStr">
        <is>
          <t>New at M3 — raised by DEC-018 (11/10/2026). Score proposed by the drafter, to be confirmed by the owner.</t>
        </is>
      </c>
    </row>
  </sheetData>
  <autoFilter ref="B2:P23"/>
  <mergeCells count="1">
    <mergeCell ref="B1:C1"/>
  </mergeCells>
  <conditionalFormatting sqref="I3:I23">
    <cfRule type="cellIs" priority="1" operator="equal" dxfId="2">
      <formula>"High"</formula>
    </cfRule>
    <cfRule type="cellIs" priority="2" operator="equal" dxfId="1">
      <formula>"Medium"</formula>
    </cfRule>
    <cfRule type="cellIs" priority="3" operator="equal" dxfId="0">
      <formula>"Low"</formula>
    </cfRule>
  </conditionalFormatting>
  <pageMargins left="0.75" right="0.75" top="1" bottom="1" header="0.511811023622047" footer="0.511811023622047"/>
  <pageSetup orientation="landscape" paperSize="9" fitToHeight="0" horizontalDpi="300" verticalDpi="300"/>
</worksheet>
</file>

<file path=xl/worksheets/sheet3.xml><?xml version="1.0" encoding="utf-8"?>
<worksheet xmlns="http://schemas.openxmlformats.org/spreadsheetml/2006/main">
  <sheetPr>
    <tabColor rgb="FF2F5597"/>
    <outlinePr summaryBelow="1" summaryRight="1"/>
    <pageSetUpPr fitToPage="1"/>
  </sheetPr>
  <dimension ref="B1:C15"/>
  <sheetViews>
    <sheetView showGridLines="0" tabSelected="1" zoomScale="85" zoomScaleNormal="85" workbookViewId="0">
      <pane ySplit="4" topLeftCell="A5" activePane="bottomLeft" state="frozen"/>
      <selection pane="bottomLeft" activeCell="J7" sqref="J7"/>
    </sheetView>
  </sheetViews>
  <sheetFormatPr baseColWidth="8" defaultColWidth="8.6640625" defaultRowHeight="14.4"/>
  <cols>
    <col width="2.5546875" customWidth="1" min="1" max="1"/>
    <col width="42.5546875" customWidth="1" min="2" max="2"/>
    <col width="114.77734375" customWidth="1" min="3" max="3"/>
  </cols>
  <sheetData>
    <row r="1" ht="30" customHeight="1">
      <c r="B1" s="43" t="inlineStr">
        <is>
          <t>8.3 Highest-priority risk — defence</t>
        </is>
      </c>
      <c r="C1" s="31" t="n"/>
    </row>
    <row r="2" ht="12" customHeight="1">
      <c r="B2" s="1" t="n"/>
      <c r="C2" s="31" t="n"/>
    </row>
    <row r="3" ht="12" customHeight="1" thickBot="1">
      <c r="B3" s="31" t="n"/>
      <c r="C3" s="31" t="n"/>
    </row>
    <row r="4" ht="24" customHeight="1">
      <c r="B4" s="56" t="inlineStr">
        <is>
          <t>Aspect</t>
        </is>
      </c>
      <c r="C4" s="57" t="inlineStr">
        <is>
          <t>Response</t>
        </is>
      </c>
    </row>
    <row r="5" ht="26.4" customHeight="1">
      <c r="B5" s="59" t="inlineStr">
        <is>
          <t>Risk</t>
        </is>
      </c>
      <c r="C5" s="60" t="inlineStr">
        <is>
          <t>RSK-001 — Requesters keep using email, telephone and WhatsApp after the platform is live, so the single controlled record of a request lifecycle is never achieved. Priority 9 (High).</t>
        </is>
      </c>
    </row>
    <row r="6" ht="92.40000000000001" customHeight="1">
      <c r="B6" s="61" t="inlineStr">
        <is>
          <t>Why it deserves the most attention now</t>
        </is>
      </c>
      <c r="C6" s="62" t="inlineStr">
        <is>
          <t>Two risks score 9, so the score does not settle it. RSK-002 (indefinite retention of personal information) is serious, but it is inside our control: DEC-005 is already open with a named evidence requirement, and the remedy is a rule we can apply once STK-009 supplies it. RSK-001 is different in kind. The platform can satisfy every requirement we baseline and still fail, because the business need in s.2.1 is a single controlled record and that depends on the organisation retiring channels the system does not own. It is also the risk the team deliberately took on: SCP-017 excludes ingestion from the existing channels for a sound engineering reason — federating them would preserve the duplication we exist to remove — and that correct decision is precisely what leaves adoption as the exposure. A risk created by our own reasoned choice is the one we are most accountable for.</t>
        </is>
      </c>
    </row>
    <row r="7" ht="52.8" customHeight="1">
      <c r="B7" s="59" t="inlineStr">
        <is>
          <t>Requirements and constraints threatened</t>
        </is>
      </c>
      <c r="C7" s="60" t="inlineStr">
        <is>
          <t>The business need behind the whole scope baseline; SCP-001 and SCP-003 (submission and status visibility, which only work if requests arrive here); SCP-011, whose management reporting is only as complete as the data captured — if requests arrive off-platform, that requirement is unverifiable however well it is built. STK-001, STK-004 and STK-005 all lose value; STK-008 loses the accountability improvement that justified funding it.</t>
        </is>
      </c>
    </row>
    <row r="8" ht="26.4" customHeight="1">
      <c r="B8" s="61" t="inlineStr">
        <is>
          <t>Early-warning indicator</t>
        </is>
      </c>
      <c r="C8" s="62" t="inlineStr">
        <is>
          <t>Any pilot week in which STK-004 reports requests still arriving by telephone or WhatsApp. Chosen because it is observable during M3 by the one stakeholder who sees every channel, rather than a lagging measure such as final adoption at M4.</t>
        </is>
      </c>
    </row>
    <row r="9" ht="39.6" customHeight="1">
      <c r="B9" s="59" t="inlineStr">
        <is>
          <t>Mitigation already in place</t>
        </is>
      </c>
      <c r="C9" s="60" t="inlineStr">
        <is>
          <t>SCP-017 defends the exclusion on engineering grounds rather than leaving it unexamined. Channel retirement is recorded as an assumption with its impact if invalid rather than assumed silently. SCP-001 is written so that STK-004 can capture a request on a requester's behalf, so contacts arriving informally still enter the controlled record. [Cite the issue or PR reference as evidence.]</t>
        </is>
      </c>
    </row>
    <row r="10" ht="52.8" customHeight="1">
      <c r="B10" s="61" t="inlineStr">
        <is>
          <t>Consequence if unmitigated</t>
        </is>
      </c>
      <c r="C10" s="62" t="inlineStr">
        <is>
          <t>The platform becomes a fourth channel alongside the three that already exist. Duplication and lost requests continue, and management reporting is drawn from partial data — which is worse than no reporting, because it looks authoritative. At M4 the team would have to report that the delivered system satisfied its requirements but not the stakeholder need, which is exactly the distinction the module assesses.</t>
        </is>
      </c>
    </row>
    <row r="11">
      <c r="B11" s="59" t="n"/>
      <c r="C11" s="60" t="n"/>
    </row>
    <row r="12" ht="39.6" customHeight="1">
      <c r="B12" s="61" t="inlineStr">
        <is>
          <t>Defence question 6 — why later-lifecycle concerns belong in M1</t>
        </is>
      </c>
      <c r="C12" s="62" t="inlineStr">
        <is>
          <t>See §9.3 on the PED Text tab. Short form: recording a concern preserves options, deciding it now on insufficient evidence closes them. The test is whether the baseline is different because of it — the FEC Influence tab names the differences, and most of them are already visible in A's registers.</t>
        </is>
      </c>
    </row>
    <row r="13" ht="39.6" customHeight="1">
      <c r="B13" s="59" t="inlineStr">
        <is>
          <t>Defence question 7 — a decision deliberately not made</t>
        </is>
      </c>
      <c r="C13" s="60" t="inlineStr">
        <is>
          <t>Three are open in A's log. The strongest to defend is DEC-003 (hosting platform), because the reason for deferring is a genuine conflict between constraints — CON-003 favours a free tier while CON-006 and CON-007 need audit retention and backup that free tiers often omit — and the evidence required is named and obtainable. DEC-005 (retention) is the one with the most downstream consequence.</t>
        </is>
      </c>
    </row>
    <row r="14" ht="39.6" customHeight="1">
      <c r="B14" s="61" t="inlineStr">
        <is>
          <t>Defence question 12 — an early shortcut that creates debt later</t>
        </is>
      </c>
      <c r="C14" s="62" t="inlineStr">
        <is>
          <t>Treating authorisation as an application-level concern instead of an architecturally significant one. DEC-004 explicitly rejected that shortcut. It is the fastest route to a working system and the most expensive to unpick, because authorisation cuts across every view, query, transition and test written after it — which is why it is recorded as a decision rather than left to construction.</t>
        </is>
      </c>
    </row>
    <row r="15" ht="40.2" customHeight="1" thickBot="1">
      <c r="B15" s="63" t="inlineStr">
        <is>
          <t>A gap to raise honestly, not hide</t>
        </is>
      </c>
      <c r="C15" s="64" t="inlineStr">
        <is>
          <t>No decision or deferment has been logged for the SCP-011 service-level target, although every other open question in the baseline is captured as a DEC. Carried here as RSK-003. Raising it yourself in the presentation is stronger evidence of control than being asked about it.</t>
        </is>
      </c>
    </row>
  </sheetData>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Christiaan Burger</dc:creator>
  <dcterms:created xsi:type="dcterms:W3CDTF">2026-09-08T21:17:47Z</dcterms:created>
  <dcterms:modified xsi:type="dcterms:W3CDTF">2026-10-11T15:21:10Z</dcterms:modified>
  <cp:lastModifiedBy>ethan lindsay</cp:lastModifiedBy>
</cp:coreProperties>
</file>