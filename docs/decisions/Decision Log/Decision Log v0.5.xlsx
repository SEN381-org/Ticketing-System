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30936" windowHeight="17496" tabRatio="600" firstSheet="0" activeTab="0" autoFilterDateGrouping="1"/>
  </bookViews>
  <sheets>
    <sheet name="Decision Log" sheetId="1" state="visible" r:id="rId1"/>
  </sheets>
  <definedNames/>
  <calcPr calcId="191029" fullCalcOnLoad="1"/>
</workbook>
</file>

<file path=xl/styles.xml><?xml version="1.0" encoding="utf-8"?>
<styleSheet xmlns="http://schemas.openxmlformats.org/spreadsheetml/2006/main">
  <numFmts count="0"/>
  <fonts count="10">
    <font>
      <name val="Aptos Narrow"/>
      <family val="2"/>
      <color theme="1"/>
      <sz val="11"/>
      <scheme val="minor"/>
    </font>
    <font>
      <name val="Aptos Narrow"/>
      <family val="2"/>
      <b val="1"/>
      <color theme="1"/>
      <sz val="11"/>
      <scheme val="minor"/>
    </font>
    <font>
      <name val="Aptos Narrow"/>
      <family val="2"/>
      <b val="1"/>
      <color rgb="FF0F4761"/>
      <sz val="20"/>
      <scheme val="minor"/>
    </font>
    <font>
      <name val="Aptos Narrow"/>
      <family val="2"/>
      <i val="1"/>
      <color rgb="FF595959"/>
      <sz val="11"/>
      <scheme val="minor"/>
    </font>
    <font>
      <name val="Aptos Narrow"/>
      <family val="2"/>
      <b val="1"/>
      <color rgb="FFFFFFFF"/>
      <sz val="11"/>
      <scheme val="minor"/>
    </font>
    <font>
      <name val="Aptos Narrow"/>
      <family val="2"/>
      <b val="1"/>
      <color rgb="FF000000"/>
      <sz val="10.5"/>
      <scheme val="minor"/>
    </font>
    <font>
      <name val="Aptos Narrow"/>
      <family val="2"/>
      <color rgb="FF000000"/>
      <sz val="10.5"/>
      <scheme val="minor"/>
    </font>
    <font>
      <name val="Aptos Narrow"/>
      <family val="2"/>
      <b val="1"/>
      <color rgb="FF0F4761"/>
      <sz val="12"/>
      <scheme val="minor"/>
    </font>
    <font>
      <name val="Aptos Narrow"/>
      <family val="2"/>
      <sz val="8"/>
      <scheme val="minor"/>
    </font>
    <font>
      <name val="Aptos Narrow"/>
      <family val="2"/>
      <b val="1"/>
      <color theme="5" tint="-0.499984740745262"/>
      <sz val="10.5"/>
      <scheme val="minor"/>
    </font>
  </fonts>
  <fills count="6">
    <fill>
      <patternFill/>
    </fill>
    <fill>
      <patternFill patternType="gray125"/>
    </fill>
    <fill>
      <patternFill patternType="solid">
        <fgColor rgb="FF0F4761"/>
        <bgColor indexed="64"/>
      </patternFill>
    </fill>
    <fill>
      <patternFill patternType="solid">
        <fgColor rgb="FFEAF3F8"/>
        <bgColor indexed="64"/>
      </patternFill>
    </fill>
    <fill>
      <patternFill patternType="solid">
        <fgColor rgb="FFCDE7F3"/>
        <bgColor indexed="64"/>
      </patternFill>
    </fill>
    <fill>
      <patternFill patternType="solid">
        <fgColor rgb="FFFF7C8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s>
  <cellStyleXfs count="1">
    <xf numFmtId="0" fontId="0" fillId="0" borderId="0"/>
  </cellStyleXfs>
  <cellXfs count="31">
    <xf numFmtId="0" fontId="0" fillId="0" borderId="0" pivotButton="0" quotePrefix="0" xfId="0"/>
    <xf numFmtId="0" fontId="4" fillId="2" borderId="1" applyAlignment="1" pivotButton="0" quotePrefix="0" xfId="0">
      <alignment horizontal="left" vertical="center" wrapText="1" indent="1"/>
    </xf>
    <xf numFmtId="0" fontId="4" fillId="2" borderId="1" applyAlignment="1" pivotButton="0" quotePrefix="0" xfId="0">
      <alignment horizontal="center" vertical="center" wrapText="1" indent="1"/>
    </xf>
    <xf numFmtId="0" fontId="5" fillId="0" borderId="1" applyAlignment="1" pivotButton="0" quotePrefix="0" xfId="0">
      <alignment vertical="center" wrapText="1" indent="1"/>
    </xf>
    <xf numFmtId="14" fontId="6" fillId="0" borderId="1" applyAlignment="1" pivotButton="0" quotePrefix="0" xfId="0">
      <alignment horizontal="center" vertical="center" wrapText="1"/>
    </xf>
    <xf numFmtId="0" fontId="6" fillId="0" borderId="1" applyAlignment="1" pivotButton="0" quotePrefix="0" xfId="0">
      <alignment vertical="center" wrapText="1" indent="1"/>
    </xf>
    <xf numFmtId="0" fontId="6"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3" borderId="1" applyAlignment="1" pivotButton="0" quotePrefix="0" xfId="0">
      <alignment vertical="center" wrapText="1" indent="1"/>
    </xf>
    <xf numFmtId="14" fontId="6" fillId="3" borderId="1" applyAlignment="1" pivotButton="0" quotePrefix="0" xfId="0">
      <alignment horizontal="center" vertical="center" wrapText="1"/>
    </xf>
    <xf numFmtId="0" fontId="6" fillId="3" borderId="1" applyAlignment="1" pivotButton="0" quotePrefix="0" xfId="0">
      <alignment vertical="center" wrapText="1" indent="1"/>
    </xf>
    <xf numFmtId="0" fontId="6"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0" fillId="0"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vertical="center" wrapText="1"/>
    </xf>
    <xf numFmtId="0" fontId="1" fillId="0" borderId="1" applyAlignment="1" pivotButton="0" quotePrefix="0" xfId="0">
      <alignment horizontal="center" vertical="center" wrapText="1"/>
    </xf>
    <xf numFmtId="0" fontId="9" fillId="5" borderId="1" applyAlignment="1" pivotButton="0" quotePrefix="0" xfId="0">
      <alignment horizontal="center" vertical="center" wrapText="1"/>
    </xf>
    <xf numFmtId="0" fontId="2" fillId="0" borderId="0" applyAlignment="1" pivotButton="0" quotePrefix="0" xfId="0">
      <alignment vertical="center"/>
    </xf>
    <xf numFmtId="0" fontId="0" fillId="0" borderId="0" applyAlignment="1" pivotButton="0" quotePrefix="0" xfId="0">
      <alignment vertical="center"/>
    </xf>
    <xf numFmtId="0" fontId="3" fillId="0" borderId="0" applyAlignment="1" pivotButton="0" quotePrefix="0" xfId="0">
      <alignment vertical="center"/>
    </xf>
    <xf numFmtId="0" fontId="1" fillId="4" borderId="1" applyAlignment="1" pivotButton="0" quotePrefix="0" xfId="0">
      <alignment horizontal="left" vertical="center" indent="1"/>
    </xf>
    <xf numFmtId="0" fontId="7" fillId="0" borderId="1" applyAlignment="1" pivotButton="0" quotePrefix="0" xfId="0">
      <alignment horizontal="center" vertical="center"/>
    </xf>
    <xf numFmtId="0" fontId="0" fillId="3" borderId="1" applyAlignment="1" pivotButton="0" quotePrefix="0" xfId="0">
      <alignment horizontal="left" vertical="center" indent="1"/>
    </xf>
    <xf numFmtId="0" fontId="0" fillId="3" borderId="2" applyAlignment="1" pivotButton="0" quotePrefix="0" xfId="0">
      <alignment horizontal="left" vertical="center"/>
    </xf>
    <xf numFmtId="0" fontId="0" fillId="3" borderId="3" applyAlignment="1" pivotButton="0" quotePrefix="0" xfId="0">
      <alignment horizontal="left" vertical="center"/>
    </xf>
    <xf numFmtId="0" fontId="0" fillId="0" borderId="6" pivotButton="0" quotePrefix="0" xfId="0"/>
    <xf numFmtId="0" fontId="0" fillId="0" borderId="3" pivotButton="0" quotePrefix="0" xfId="0"/>
    <xf numFmtId="0" fontId="0" fillId="3" borderId="1" applyAlignment="1" pivotButton="0" quotePrefix="0" xfId="0">
      <alignment horizontal="left" vertical="center"/>
    </xf>
  </cellXfs>
  <cellStyles count="1">
    <cellStyle name="Normal" xfId="0" builtinId="0"/>
  </cellStyles>
  <dxfs count="17">
    <dxf>
      <font>
        <color rgb="FFA6A6A6"/>
      </font>
    </dxf>
    <dxf>
      <font>
        <color rgb="FF7A3E00"/>
      </font>
      <fill>
        <patternFill patternType="solid">
          <fgColor indexed="64"/>
          <bgColor rgb="FFFFF3D6"/>
        </patternFill>
      </fill>
    </dxf>
    <dxf>
      <font>
        <color rgb="FF1E6B2C"/>
      </font>
      <fill>
        <patternFill patternType="solid">
          <fgColor indexed="64"/>
          <bgColor rgb="FFE2F0E4"/>
        </patternFill>
      </fill>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P20"/>
  <sheetViews>
    <sheetView tabSelected="1" zoomScale="55" zoomScaleNormal="55" workbookViewId="0">
      <pane ySplit="4" topLeftCell="A14" activePane="bottomLeft" state="frozen"/>
      <selection pane="bottomLeft" activeCell="O13" sqref="O13"/>
    </sheetView>
  </sheetViews>
  <sheetFormatPr baseColWidth="8" defaultRowHeight="14.4"/>
  <cols>
    <col width="2.21875" customWidth="1" min="1" max="1"/>
    <col width="18.109375" customWidth="1" min="2" max="2"/>
    <col width="30.21875" bestFit="1" customWidth="1" min="3" max="3"/>
    <col width="37" customWidth="1" min="4" max="4"/>
    <col width="38.88671875" customWidth="1" min="5" max="5"/>
    <col width="64.88671875" customWidth="1" min="6" max="6"/>
    <col width="53.6640625" customWidth="1" min="7" max="7"/>
    <col width="44.44140625" customWidth="1" min="8" max="8"/>
    <col width="11.109375" customWidth="1" min="9" max="9"/>
    <col width="46.21875" customWidth="1" min="10" max="10"/>
    <col width="18.5546875" customWidth="1" min="11" max="11"/>
    <col width="24" customWidth="1" min="14" max="14"/>
    <col width="31.109375" customWidth="1" min="16" max="16"/>
  </cols>
  <sheetData>
    <row r="1" ht="25.8" customHeight="1">
      <c r="B1" s="20" t="inlineStr">
        <is>
          <t>Decision Log</t>
        </is>
      </c>
    </row>
    <row r="2">
      <c r="B2" s="22" t="inlineStr">
        <is>
          <t>Decisions and deferments taken during M1 and M2, the alternatives weighed, and what each one commits or blocks downstream</t>
        </is>
      </c>
    </row>
    <row r="3"/>
    <row r="4" ht="36" customHeight="1">
      <c r="B4" s="1" t="inlineStr">
        <is>
          <t>ID</t>
        </is>
      </c>
      <c r="C4" s="2" t="inlineStr">
        <is>
          <t>Date</t>
        </is>
      </c>
      <c r="D4" s="1" t="inlineStr">
        <is>
          <t>Decision or deferment</t>
        </is>
      </c>
      <c r="E4" s="1" t="inlineStr">
        <is>
          <t>Alternatives considered</t>
        </is>
      </c>
      <c r="F4" s="1" t="inlineStr">
        <is>
          <t>Rationale</t>
        </is>
      </c>
      <c r="G4" s="1" t="inlineStr">
        <is>
          <t>Consequences / downstream impact</t>
        </is>
      </c>
      <c r="H4" s="1" t="inlineStr">
        <is>
          <t>Evidence still required (if deferred)</t>
        </is>
      </c>
      <c r="I4" s="2" t="inlineStr">
        <is>
          <t>Owner</t>
        </is>
      </c>
      <c r="J4" s="2" t="inlineStr">
        <is>
          <t>Preserved from v1.0</t>
        </is>
      </c>
      <c r="K4" s="2" t="inlineStr">
        <is>
          <t>Status</t>
        </is>
      </c>
      <c r="N4" s="24" t="inlineStr">
        <is>
          <t>Decision status</t>
        </is>
      </c>
      <c r="O4" s="28" t="n"/>
      <c r="P4" s="29" t="n"/>
    </row>
    <row r="5" ht="90" customHeight="1">
      <c r="B5" s="3" t="inlineStr">
        <is>
          <t>DEC-001</t>
        </is>
      </c>
      <c r="C5" s="4">
        <f>DATE(2026,9,6)</f>
        <v/>
      </c>
      <c r="D5" s="3" t="inlineStr">
        <is>
          <t>Scope CivicConnect to a campus / educational institution context</t>
        </is>
      </c>
      <c r="E5" s="5" t="inlineStr">
        <is>
          <t>Municipality or local government; community NGO; residential estate</t>
        </is>
      </c>
      <c r="F5" s="5" t="inlineStr">
        <is>
          <t>The Master Brief does not name the client organisation. The request types listed in s.2 (facility faults, IT support, lost property, security concerns) correspond to an institutional campus. A recorded assumption is preferable to proceeding with an ambiguous stakeholder set.</t>
        </is>
      </c>
      <c r="G5" s="5" t="inlineStr">
        <is>
          <t>Determines the entire stakeholder register and the applicability of POPIA (CON-007). If the assumption is wrong, STK-001 to STK-009 and every derived requirement must be revisited.</t>
        </is>
      </c>
      <c r="H5" s="6" t="inlineStr">
        <is>
          <t>—</t>
        </is>
      </c>
      <c r="I5" s="6" t="inlineStr">
        <is>
          <t>Ethan</t>
        </is>
      </c>
      <c r="J5" s="6" t="inlineStr">
        <is>
          <t>—</t>
        </is>
      </c>
      <c r="K5" s="7" t="inlineStr">
        <is>
          <t>DECIDED</t>
        </is>
      </c>
      <c r="N5" s="25" t="inlineStr">
        <is>
          <t>Decided</t>
        </is>
      </c>
      <c r="O5" s="29" t="n"/>
      <c r="P5" s="13">
        <f>COUNTIF($K$5:$K$148,"DECIDED")</f>
        <v/>
      </c>
    </row>
    <row r="6" ht="201.6" customHeight="1">
      <c r="B6" s="8" t="inlineStr">
        <is>
          <t>DEC-002</t>
        </is>
      </c>
      <c r="C6" s="9">
        <f>DATE(2026,9,29)</f>
        <v/>
      </c>
      <c r="D6" s="8" t="inlineStr">
        <is>
          <t>Adopt a MERN stack: MongoDB, Express, React and Node.js, with MongoDB Atlas as the managed database service</t>
        </is>
      </c>
      <c r="E6" s="10" t="inlineStr">
        <is>
          <t>Database decision such as Postgres and MySQL which would change the backend platform.</t>
        </is>
      </c>
      <c r="F6" s="10" t="inlineStr">
        <is>
          <t>Decided at M2, closing the deferment recorded at v1.0. The five build-repeatability properties identified in the team's Assignment 2 research were applied as selection criteria rather than as work following the selection. Team capability under CON-004 is an engineering input rather than a preference: a single language across client and server removes a context switch for three part-time members. Availability under CON-008 is satisfied because Atlas is a hosted service independent of the institutional environment.</t>
        </is>
      </c>
      <c r="G6" s="10" t="inlineStr">
        <is>
          <t>CON-015 (trigger-based database auditing) is satisfiable: Atlas provides managed Database Triggers that fire on insert, update and delete. Free M0 clusters deploy as a three-node replica set, so change streams and multi-document transactions are both available, and the transactional position carried in the Assignment 2 persistence research transfers. Two consequences remain open. Free M0 clusters do not support backups, which bears directly on NFR-1.5; this is carried as DEC-010. And the database now sits with a second provider alongside the DEC-003 host, which is a dependency under CON-008 and a cost position under CON-003. The decision closed after the 22 September working deadline imposed by CON-013, so the exposure recorded as RSK-015 materialised rather than being avoided.</t>
        </is>
      </c>
      <c r="H6" s="11" t="inlineStr">
        <is>
          <t>—</t>
        </is>
      </c>
      <c r="I6" s="11" t="inlineStr">
        <is>
          <t>Ethan</t>
        </is>
      </c>
      <c r="J6" s="11" t="inlineStr">
        <is>
          <t>Defer selection of the technology stack. Evidence required at deferment: verified availability of candidate technologies in the institutional environment under CON-008. Working deadline of 22 September imposed by CON-013.</t>
        </is>
      </c>
      <c r="K6" s="7" t="inlineStr">
        <is>
          <t>DECIDED</t>
        </is>
      </c>
      <c r="N6" s="25" t="inlineStr">
        <is>
          <t>Deferred</t>
        </is>
      </c>
      <c r="O6" s="29" t="n"/>
      <c r="P6" s="13">
        <f>COUNTIF($K$5:$K$513,"DEFERRED")</f>
        <v/>
      </c>
    </row>
    <row r="7" ht="201.6" customHeight="1">
      <c r="B7" s="3" t="inlineStr">
        <is>
          <t>DEC-003</t>
        </is>
      </c>
      <c r="C7" s="4">
        <f>DATE(2026,9,29)</f>
        <v/>
      </c>
      <c r="D7" s="3" t="inlineStr">
        <is>
          <t>Adopt Hostinger as the application hosting and deployment platform, with MongoDB Atlas as the managed database service</t>
        </is>
      </c>
      <c r="E7" s="5" t="inlineStr">
        <is>
          <t>Vercel, However Hostinger offers more flexibility and customization  given we have access to the server.</t>
        </is>
      </c>
      <c r="F7" s="5" t="inlineStr">
        <is>
          <t>Decided at M2, closing the deferment recorded at v1.0. The deferment identified the trade-off between CON-003 (free or low-cost services) and CON-006, CON-007 and CON-019 (audit log retention, backup and encryption), which free tiers commonly omit. Separating application hosting from the database service addresses that trade-off directly: the audit and replica-set capabilities the data layer requires are provided by the managed database service rather than by the application host.</t>
        </is>
      </c>
      <c r="G7" s="5" t="inlineStr">
        <is>
          <t>SCP-014 (status notification) and SCP-015 (photograph attachments) are released from their dependency on this decision and may be reconsidered through controlled change. The evidence named at deferment - documented limits covering audit log retention, backup and likely operational cost beyond the educational context - must now be recorded against the specific plan and cluster tier selected rather than against the platforms in general. Backup capability is determinable for the first time, so the 24-hour recovery point asserted in NFR-1.5 becomes testable rather than assumed; the tier question this raises is carried as DEC-010. Two providers rather than one increases the dependency surface under CON-008. Closed after the 22 September deadline, with the same consequence recorded under DEC-002.</t>
        </is>
      </c>
      <c r="H7" s="6" t="inlineStr">
        <is>
          <t>—</t>
        </is>
      </c>
      <c r="I7" s="6" t="inlineStr">
        <is>
          <t>Ethan</t>
        </is>
      </c>
      <c r="J7" s="6" t="inlineStr">
        <is>
          <t>Defer selection of the hosting and deployment platform. Alternatives at deferment: commit to a free-tier platform now; commit to a paid platform now. Evidence required: documented free-tier limits for candidate platforms covering audit log retention, backup and likely operational cost beyond the educational context.</t>
        </is>
      </c>
      <c r="K7" s="7" t="inlineStr">
        <is>
          <t>DECIDED</t>
        </is>
      </c>
      <c r="N7" s="30" t="inlineStr">
        <is>
          <t>Superseded</t>
        </is>
      </c>
      <c r="O7" s="29" t="n"/>
      <c r="P7" s="13">
        <f>COUNTIF($K$5:$K$762,"SUPERSEDED")</f>
        <v/>
      </c>
    </row>
    <row r="8" ht="57.6" customHeight="1">
      <c r="B8" s="8" t="inlineStr">
        <is>
          <t>DEC-004</t>
        </is>
      </c>
      <c r="C8" s="9">
        <f>DATE(2026,9,6)</f>
        <v/>
      </c>
      <c r="D8" s="8" t="inlineStr">
        <is>
          <t>Treat role-based access control as an architecturally significant requirement</t>
        </is>
      </c>
      <c r="E8" s="10" t="inlineStr">
        <is>
          <t>Handle authorisation as an application-level concern during construction; use a single shared staff view</t>
        </is>
      </c>
      <c r="F8" s="10" t="inlineStr">
        <is>
          <t>The CFL-002 resolution restricts security-request visibility by role. Authorisation applied late cannot be retrofitted cleanly across every view and transition, and CON-006 requires it to be addressed from requirements onward.</t>
        </is>
      </c>
      <c r="G8" s="10" t="inlineStr">
        <is>
          <t>Constrains the M2 architecture and data model. Adds verification obligations in M3 under CON-005.</t>
        </is>
      </c>
      <c r="H8" s="11" t="inlineStr">
        <is>
          <t>—</t>
        </is>
      </c>
      <c r="I8" s="11" t="inlineStr">
        <is>
          <t>Ethan</t>
        </is>
      </c>
      <c r="J8" s="11" t="inlineStr">
        <is>
          <t>—</t>
        </is>
      </c>
      <c r="K8" s="12" t="inlineStr">
        <is>
          <t>DECIDED</t>
        </is>
      </c>
      <c r="N8" s="23" t="inlineStr">
        <is>
          <t>Total logged</t>
        </is>
      </c>
      <c r="O8" s="29" t="n"/>
      <c r="P8" s="14">
        <f>SUM(P5:P7)</f>
        <v/>
      </c>
    </row>
    <row r="9" ht="158.4" customHeight="1">
      <c r="B9" s="3" t="inlineStr">
        <is>
          <t>DEC-005</t>
        </is>
      </c>
      <c r="C9" s="4">
        <f>DATE(2026,9,29)</f>
        <v/>
      </c>
      <c r="D9" s="3" t="inlineStr">
        <is>
          <t>Retain identifiable personal information for one month, with aggregated statistics retained beyond that period</t>
        </is>
      </c>
      <c r="E9" s="5" t="inlineStr">
        <is>
          <t>Retain indefinitely; adopt a longer fixed period; continue deferring pending STK-009 guidance</t>
        </is>
      </c>
      <c r="F9" s="5" t="inlineStr">
        <is>
          <t>Decided as a team judgement. No statutory obligation requires a minimum retention period for this data; the operative constraint under CON-007 runs the other way, since POPIA requires that personal information not be retained for longer than necessary to achieve the purpose it was collected for. One month was selected as the shortest period that still allows a backup cycle to complete and a request to be reconciled before identifiable data is removed. Aggregated statistics are retained beyond it so that SCP-011 reporting survives deletion. The period is a team position rather than stakeholder-validated guidance from STK-009, and is carried as such.</t>
        </is>
      </c>
      <c r="G9" s="5" t="inlineStr">
        <is>
          <t>NFR-4.2 is released from OI-05 and now states a period that can be written and verified; AC-NFR-4.2 becomes writable and must be added. SCP-020 (automated enforcement of the retention period) remains deferred as a capability, but the original basis for that deferment - that the period itself was undecided - no longer holds, so SCP-020's basis must be rewritten rather than left as recorded. RSK-002, the highest-scoring exposure in the register, is re-scored or closed. The one-month window also bounds what can be reconstructed after an incident, so it interacts with the audit obligation under CON-015 and with the operational evidence position.</t>
        </is>
      </c>
      <c r="H9" s="6" t="inlineStr">
        <is>
          <t>—</t>
        </is>
      </c>
      <c r="I9" s="6" t="inlineStr">
        <is>
          <t>Ethan</t>
        </is>
      </c>
      <c r="J9" s="6" t="inlineStr">
        <is>
          <t>Defer the personal-information retention period. Alternatives at deferment: retain indefinitely; adopt an arbitrary fixed period. Evidence required: retention guidance from the information officer, or a documented institutional retention standard.</t>
        </is>
      </c>
      <c r="K9" s="12" t="inlineStr">
        <is>
          <t>DECIDED</t>
        </is>
      </c>
    </row>
    <row r="10" ht="43.2" customHeight="1">
      <c r="B10" s="8" t="inlineStr">
        <is>
          <t>DEC-006</t>
        </is>
      </c>
      <c r="C10" s="9">
        <f>DATE(2026,9,6)</f>
        <v/>
      </c>
      <c r="D10" s="8" t="inlineStr">
        <is>
          <t>Limit mandatory capture fields at submission to category, location and description</t>
        </is>
      </c>
      <c r="E10" s="10" t="inlineStr">
        <is>
          <t>Capture full structured detail at submission; make all detail optional</t>
        </is>
      </c>
      <c r="F10" s="10" t="inlineStr">
        <is>
          <t>Resolution of CFL-001. Minimal mandatory capture protects submission speed for STK-001; category remains mandatory because the SCP-011 reporting depends on it.</t>
        </is>
      </c>
      <c r="G10" s="10" t="inlineStr">
        <is>
          <t>Reporting richness for STK-005 depends on post-submission detail being supplied. If uptake is poor, this decision may need revisiting through change control.</t>
        </is>
      </c>
      <c r="H10" s="11" t="inlineStr">
        <is>
          <t>—</t>
        </is>
      </c>
      <c r="I10" s="11" t="inlineStr">
        <is>
          <t>Ethan</t>
        </is>
      </c>
      <c r="J10" s="11" t="inlineStr">
        <is>
          <t>—</t>
        </is>
      </c>
      <c r="K10" s="12" t="inlineStr">
        <is>
          <t>DECIDED</t>
        </is>
      </c>
    </row>
    <row r="11" ht="43.2" customHeight="1">
      <c r="B11" s="3" t="inlineStr">
        <is>
          <t>DEC-007</t>
        </is>
      </c>
      <c r="C11" s="4">
        <f>DATE(2026,9,6)</f>
        <v/>
      </c>
      <c r="D11" s="3" t="inlineStr">
        <is>
          <t>Exclude a native mobile application from the committed scope</t>
        </is>
      </c>
      <c r="E11" s="5" t="inlineStr">
        <is>
          <t>Native mobile in addition to web; native mobile instead of web</t>
        </is>
      </c>
      <c r="F11" s="5" t="inlineStr">
        <is>
          <t>A responsive web interface meets the access need within CON-002 and CON-004. A second build and release path is not supportable by three part-time students within the delivery period.</t>
        </is>
      </c>
      <c r="G11" s="5" t="inlineStr">
        <is>
          <t>Places a usability obligation on the web interface for mobile viewports, which becomes a quality attribute for Member B to specify measurably under CON-005.</t>
        </is>
      </c>
      <c r="H11" s="6" t="inlineStr">
        <is>
          <t>—</t>
        </is>
      </c>
      <c r="I11" s="6" t="inlineStr">
        <is>
          <t>Ethan</t>
        </is>
      </c>
      <c r="J11" s="6" t="inlineStr">
        <is>
          <t>—</t>
        </is>
      </c>
      <c r="K11" s="19" t="inlineStr">
        <is>
          <t>SUPERSEDED</t>
        </is>
      </c>
    </row>
    <row r="12" ht="72" customHeight="1">
      <c r="B12" s="8" t="inlineStr">
        <is>
          <t>DEC-008</t>
        </is>
      </c>
      <c r="C12" s="9">
        <f>DATE(2026,9,8)</f>
        <v/>
      </c>
      <c r="D12" s="8" t="inlineStr">
        <is>
          <t>Adopt a two-stage protected branching model: feature branches merge to dev, dev merges to main only at a release or baseline point. Both branches protected with two required approvals.</t>
        </is>
      </c>
      <c r="E12" s="10" t="inlineStr">
        <is>
          <t>Trunk-based development with feature branches directly to a single protected main; full GitFlow with release and hotfix branches</t>
        </is>
      </c>
      <c r="F12" s="10" t="inlineStr">
        <is>
          <t>Keeps main as a clean controlled product state matching Master Brief s.9, while allowing integration work to accumulate in dev without repeatedly disturbing the controlled baseline. Full GitFlow adds release and hotfix branches that three students on a single delivery stream do not need.</t>
        </is>
      </c>
      <c r="G12" s="10" t="inlineStr">
        <is>
          <t>Every substantive change requires two approvals at two merge points, so integration is slower and both teammates gate every change. main will lag dev, so baseline evidence must be explicitly merged and tagged at each milestone rather than assumed present.</t>
        </is>
      </c>
      <c r="H12" s="11" t="inlineStr">
        <is>
          <t>—</t>
        </is>
      </c>
      <c r="I12" s="11" t="inlineStr">
        <is>
          <t>Ethan</t>
        </is>
      </c>
      <c r="J12" s="11" t="inlineStr">
        <is>
          <t>—</t>
        </is>
      </c>
      <c r="K12" s="12" t="inlineStr">
        <is>
          <t>DECIDED</t>
        </is>
      </c>
    </row>
    <row r="13" ht="160.2" customHeight="1">
      <c r="B13" s="8" t="inlineStr">
        <is>
          <t>DEC-009</t>
        </is>
      </c>
      <c r="C13" s="9">
        <f>DATE(2026,9,9)</f>
        <v/>
      </c>
      <c r="D13" s="8" t="inlineStr">
        <is>
          <t>Adopt a controlled process for capturing verbally-issued client requirements: instructions given in session are recorded in dated team notes by a nominated member, committed to the repository within one working day, and confirmed with the client at the next session before being treated as binding.</t>
        </is>
      </c>
      <c r="E13" s="10" t="inlineStr">
        <is>
          <t>Rely on individual members' personal notes; request that all client instructions be issued in writing; treat verbal instructions as non-binding until they appear in a written brief.</t>
        </is>
      </c>
      <c r="F13" s="10" t="inlineStr">
        <is>
          <t>The client (STK-010) issues requirements verbally in sessions with no written record on their side. Without a controlled capture process, a directive exists only in individual memory, cannot be traced to a source, and cannot be shown to have been the basis of a requirement or constraint. Requesting written instruction was rejected as outside the team's control. Treating verbal instruction as non-binding was rejected because the instructions are directive in practice and ignoring them would put delivery at risk. Confirming at the next session gives the client an opportunity to correct a misheard or misrecorded instruction before it propagates into requirements.</t>
        </is>
      </c>
      <c r="G13" s="10" t="inlineStr">
        <is>
          <t>Creates a recurring obligation for the duration of the project, not a one-off task. Introduces up to a one-session lag between an instruction being given and it being treated as binding, which is a deliberate accuracy-over-speed trade-off. Every constraint or requirement derived from a verbal instruction must cite the dated note as its source, so the notes become a controlled artefact subject to the same repository controls as any other. Reduces the risk of disputed or forgotten requirements at later milestones.</t>
        </is>
      </c>
      <c r="H13" s="11" t="inlineStr">
        <is>
          <t>—</t>
        </is>
      </c>
      <c r="I13" s="11" t="inlineStr">
        <is>
          <t>Ethan</t>
        </is>
      </c>
      <c r="J13" s="11" t="inlineStr">
        <is>
          <t>—</t>
        </is>
      </c>
      <c r="K13" s="12" t="inlineStr">
        <is>
          <t>DECIDED</t>
        </is>
      </c>
    </row>
    <row r="14" ht="129.6" customHeight="1">
      <c r="B14" s="7" t="inlineStr">
        <is>
          <t>DEC-010</t>
        </is>
      </c>
      <c r="C14" s="16">
        <f>DATE(2026,9,29)</f>
        <v/>
      </c>
      <c r="D14" s="18" t="inlineStr">
        <is>
          <t>Retain the free Atlas cluster (M0), one per environment, including production; meet the NFR-1.5 recovery point through an encrypted mongodump every 12 hours to a secure institutional server, with 7-day archive retention and a weekly restore test</t>
        </is>
      </c>
      <c r="E14" s="17" t="inlineStr">
        <is>
          <t>Remain on a free M0 cluster and meet the recovery point through scheduled mongodump; adopt the lowest paid tier that provides managed backup; amend NFR-1.5 through controlled change to state a recovery point the selected tier can evidence</t>
        </is>
      </c>
      <c r="F14" s="17" t="inlineStr">
        <is>
          <t>Closed at M2 by R. van der Merwe. Amending NFR-1.5 was rejected: 24 hours is already modest. The lowest paid tier buys a platform capability at recurring cost (CON-003) when storage (~44 MB per 10 000 requests vs 0.5 GB) and throughput arithmetic show the free cluster is sufficient at M2-M4 scale. MongoDB's free-cluster documentation names mongodump/mongorestore as the alternative to backups. A 12-hour cadence is chosen over 24 hours because a single failed 24-hour run would already breach NFR-1.5; at 12 hours one missed run still stays within 24 hours. Full record: docs/decisions/ADR/DEC-010_Backup_and_Recovery_v0.1.md</t>
        </is>
      </c>
      <c r="G14" s="17" t="inlineStr">
        <is>
          <t>NFR-1.5 becomes an operated control rather than a platform capability (CON-004 effort: script, schedule, weekly check). --oplog is unsupported on free clusters, so a dump is not point-in-time across collections; restore runs a consistency check and rebuilds reportingCounts. Archives hold personal data: 7-day retention, encrypted, and PROC-001 re-run after any restore (DEC-016). Re-opens automatically if the M3 load test exceeds 70% of 100 ops/s, storage exceeds 60% of 0.5 GB, two consecutive dumps fail, the institutional server is unavailable &gt;72 h, or the system enters real production use. Raises RSK-017 and RSK-018. Scripts: scripts/backup/.</t>
        </is>
      </c>
      <c r="H14" s="17" t="inlineStr">
        <is>
          <t>E1: BC IT confirmation of the institutional server (encrypted storage, scheduler, outbound 27017), due before the M2 presentation. E2: first restore-test log (M3). E3: cost of the lowest paid tier with managed backup (M3).</t>
        </is>
      </c>
      <c r="I14" s="6" t="inlineStr">
        <is>
          <t>Robert (closure); Ethan (deferment)</t>
        </is>
      </c>
      <c r="J14" s="6" t="inlineStr">
        <is>
          <t>Deferred at M2 (29/09/2026, E. Lindsay): Defer selection of the Atlas cluster tier, and of the mechanism by which the NFR-1.5 recovery point is met Evidence required at deferment: Cost of the lowest Atlas tier providing managed backup; whether a scheduled dump can meet a 24-hour recovery point within the capacity available under CON-004; STK-008's position on incurring the cost</t>
        </is>
      </c>
      <c r="K14" s="12" t="inlineStr">
        <is>
          <t>DECIDED</t>
        </is>
      </c>
    </row>
    <row r="15" ht="302.4" customHeight="1">
      <c r="B15" s="8" t="inlineStr">
        <is>
          <t>DEC-011</t>
        </is>
      </c>
      <c r="C15" s="9">
        <f>DATE(2026,9,29)</f>
        <v/>
      </c>
      <c r="D15" s="8" t="inlineStr">
        <is>
          <t>Publish a domain event from the status-transition service and let interested components subscribe to it, using in-process event publication within the application layer</t>
        </is>
      </c>
      <c r="E15" s="10" t="inlineStr">
        <is>
          <t>Direct orchestration, in which the transition service invokes each consequence in sequence; distributed messaging through a broker or queue</t>
        </is>
      </c>
      <c r="F15" s="10" t="inlineStr">
        <is>
          <t>A status transition produces several outcomes belonging to different parts of the system: the status change and its validation (FR-6.2, FR-6.4), the immutable history entry (FR-6.3, FR-6.7), in-application feedback to the requester (FR-3.4, SCP-004) and the counts the management view reads (feature group 8). CON-015 and NFR-1.9 place the audit write below the application layer through Atlas managed database triggers, which removes it from this decision rather than solving it here. The remaining consequence set is known to be incomplete: SCP-014 is deferred rather than excluded and its dependency on DEC-003 has closed, so a further consequence is anticipated. Under direct orchestration, admitting SCP-014 later means editing transition code already reviewed under DEC-008 and verified against its acceptance criteria, converting a scope decision into a regression risk. Assignment 2 s.2.5 compared the two approaches across coupling, cohesion, layering, extensibility, testability and misuse risk. Gamma et al. (1994) record that the coupling between subject and observer is abstract and minimal and permits the two to occupy different layers, which aligns with CON-012 and NFR-1.7 rather than working against them. EventEmitter ships with the runtime selected under DEC-002, so no dependency is added against CON-003 or CON-008. Distributed messaging was rejected as disproportionate: it would introduce a network boundary and a third external provider for a consequence set of two.</t>
        </is>
      </c>
      <c r="G15" s="10" t="inlineStr">
        <is>
          <t>SCP-014 attaches as a new subscriber rather than as an edit to verified code. The transition becomes testable by asserting publication rather than by constructing every collaborator. Three costs are accepted and recorded. No single location states what a transition does, which cuts against RSK-012; all subscriptions are therefore registered in one module so the set is enumerable by reading one file. EventEmitter dispatches synchronously, so a subscriber that throws would propagate the error back into the transition that published the event; subscriber invocation is wrapped so errors are logged and contained, and the transition and its consequences are deliberately not atomic with one another. Subscriber ordering is not guaranteed meaningful, so no consequence may depend on another having run. Affects FR-3.4, FR-6.2, FR-6.3, FR-6.4, FR-6.7, NFR-1.7, NFR-1.9, SCP-004, SCP-008, SCP-014; a component diagram is required.</t>
        </is>
      </c>
      <c r="H15" s="11" t="inlineStr">
        <is>
          <t>—</t>
        </is>
      </c>
      <c r="I15" s="11" t="inlineStr">
        <is>
          <t>Ethan</t>
        </is>
      </c>
      <c r="J15" s="11" t="inlineStr">
        <is>
          <t>—</t>
        </is>
      </c>
      <c r="K15" s="12" t="inlineStr">
        <is>
          <t>Decided</t>
        </is>
      </c>
    </row>
    <row r="16" ht="316.8" customHeight="1">
      <c r="B16" s="7" t="inlineStr">
        <is>
          <t>DEC-012</t>
        </is>
      </c>
      <c r="C16" s="16">
        <f>DATE(2026,9,29)</f>
        <v/>
      </c>
      <c r="D16" s="18" t="inlineStr">
        <is>
          <t>Enforce authorisation at three points against one documented rule set: composed Express middleware at the route boundary for function-level access, the service layer for object-level access once the request document is loaded, and the response serialiser for field-level access.</t>
        </is>
      </c>
      <c r="E16" s="15" t="inlineStr">
        <is>
          <t>A single protection proxy per service; a centralised policy service called from every entry point; an explicit guard call at the top of each service method</t>
        </is>
      </c>
      <c r="F16" s="15" t="inlineStr">
        <is>
          <t>NFR-3.3 requires every authorisation rule to be enforced at the server on each request at every entry point, including endpoints not reachable through the interface, and CON-019 rules out treating a hidden interface control as an access restriction. DEC-004 records role-based access control as architecturally significant. The requirement set is not uniform: function-level access (FR-1.3, FR-6.4), object-level access depending on the request rather than the caller (FR-3.6, FR-4.1), and field-level access for security-category requests under the CFL-002 resolution (FR-1.5, FR-3.5, FR-8.6, NFR-4.4). Assignment 2 s.2.6 compared three approaches and deliberately held the recommendation open, recording the guard-call option as defensible under CON-004 and noting that a hybrid had not been researched. DEC-002 has since selected Express, whose middleware is a protection proxy in the idiom of the runtime: it stands in front of the handler, shares the request and response interface, and either forwards or refuses. Adopting it is the Assignment 2 recommendation expressed in the committed technology rather than a departure from it. The hybrid follows from the three granularities: the middleware chain runs before the document is fetched, so an object-level check cannot be made there. The guard-call alternative is rejected on detectability, which was the deciding criterion in Assignment 2 s.2.6.3: a missing guard call is invisible, whereas a route registered without its guard is visible in the route table and can be asserted against automatically, which is what CON-019 adversarial testing needs.</t>
        </is>
      </c>
      <c r="G16" s="15" t="inlineStr">
        <is>
          <t>Enforcement is distributed across three locations while the rule set remains single, which is more to hold in mind and more to check in review. Middleware ordering is load-bearing and fails silently when wrong, so authentication and authorisation are composed as one named guard rather than registered separately per route. A route registered without its guard is permitted by default, mitigated by an automated assertion over the route table that every non-public route carries it; that assertion is the evidence NFR-3.3 requires. The rule the serialiser enforces rests on CFL-002, which remains Proposed and unconfirmed with STK-006, so this decision would require revision if the resolution is not agreed; condition C-01 remains open and the exposure is tracked as RSK-009. Affects FR-1.3, FR-1.5, FR-1.6, FR-3.5, FR-3.6, FR-4.1, FR-6.4, FR-8.6, NFR-3.3, NFR-4.4, SCP-005, SCP-012; a sequence diagram showing both refusal points is required.</t>
        </is>
      </c>
      <c r="H16" s="6" t="inlineStr">
        <is>
          <t>—</t>
        </is>
      </c>
      <c r="I16" s="6" t="inlineStr">
        <is>
          <t>Ethan</t>
        </is>
      </c>
      <c r="J16" s="6" t="inlineStr">
        <is>
          <t>—</t>
        </is>
      </c>
      <c r="K16" s="12" t="inlineStr">
        <is>
          <t>Decided</t>
        </is>
      </c>
    </row>
    <row r="17" ht="72" customHeight="1">
      <c r="B17" s="8" t="inlineStr">
        <is>
          <t>DEC-013</t>
        </is>
      </c>
      <c r="C17" s="9">
        <f>DATE(2026,9,29)</f>
        <v/>
      </c>
      <c r="D17" s="8" t="inlineStr">
        <is>
          <t>Exclude a native mobile application from the committed scope; mobile access is delivered through responsive web</t>
        </is>
      </c>
      <c r="E17" s="10" t="inlineStr">
        <is>
          <t>Native mobile in addition to web; native mobile instead of web</t>
        </is>
      </c>
      <c r="F17" s="10" t="inlineStr">
        <is>
          <t>Originally taken as a team judgement: a responsive web interface meets the access need within CON-002 and CON-004, and a second build and release path is not supportable by three part-time students within the delivery period. Revised 09/09/2026 — the client confirmed verbally that the solution is to be a web application with mobile access via responsive web (CON-011). The decision is unchanged; its basis is now a client directive rather than a team judgement.</t>
        </is>
      </c>
      <c r="G17" s="10" t="inlineStr">
        <is>
          <t>Places a usability obligation on the web interface at mobile viewports, to be specified measurably by Member B under CON-005. Following the revision, the exclusion is no longer a team preference and cannot be revisited without a change request under Master Brief s.14. Reduces the risk that scope pressure later reopens the question.</t>
        </is>
      </c>
      <c r="H17" s="11" t="inlineStr">
        <is>
          <t>—</t>
        </is>
      </c>
      <c r="I17" s="11" t="inlineStr">
        <is>
          <t>Ethan</t>
        </is>
      </c>
      <c r="J17" s="11" t="inlineStr">
        <is>
          <t>—</t>
        </is>
      </c>
      <c r="K17" s="12" t="inlineStr">
        <is>
          <t>DECIDED</t>
        </is>
      </c>
    </row>
    <row r="18" ht="72" customHeight="1">
      <c r="B18" s="8" t="inlineStr">
        <is>
          <t>DEC-014</t>
        </is>
      </c>
      <c r="C18" s="9">
        <f>DATE(2026,9,29)</f>
        <v/>
      </c>
      <c r="D18" s="8" t="inlineStr">
        <is>
          <t>API semantics for the browser-to-backend boundary: REST/JSON over HTTPS under /api/v1; a status transition is a POST to a /transitions sub-resource; ETag/If-Match optimistic concurrency on state-changing sub-resources; Idempotency-Key required on state-changing POSTs; RFC 9457 problem-details errors</t>
        </is>
      </c>
      <c r="E18" s="10" t="inlineStr">
        <is>
          <t>PATCH of a status field (as implemented in the slice); GraphQL; last-write-wins without ETag; a separate idempotencyKeys collection with 24 h TTL; server-side de-duplication by body hash</t>
        </is>
      </c>
      <c r="F18" s="10" t="inlineStr">
        <is>
          <t>Assignment 2 s.4.1 identified the real risk as semantic: a timed-out transition that is retried writes a second immutable history entry (FR-6.7). A2 s.4.6 recommended REST, ETag/If-Match and an idempotency key; DEC-014 adopts that and adds what the research left unspecified: key storage on the requestHistory entry it guards (atomic with the change, unique {actorId, idempotencyKey}), fingerprint-based 422 on payload mismatch, and the status-code map (400/401/403/404/409/412/422/428). Search text travels in a POST body because URIs are logged (RFC 9110 s.17.9, CON-007). Idempotency-Key per IETF draft-ietf-httpapi-idempotency-key-header-07. Full record: docs/decisions/ADR/DEC-014_API_Semantics_v0.1.md</t>
        </is>
      </c>
      <c r="G18" s="10" t="inlineStr">
        <is>
          <t>The router changes from PATCH /:id/status to POST /api/v1/requests/:id/transitions (review comment R-03). The front end must persist the key across retries and send If-Match; a 412 needs UI treatment. NFR-3.3's 'every entry point' becomes a finite endpoint table. Additive-only change within v1; breaking change means /api/v2 via Master Brief s.14. Contract to be held as docs/api/openapi.yaml. Affects FR-2.1, FR-2.6, FR-3.x, FR-4.3, FR-4.4, FR-5.x, FR-6.x, FR-7.x, NFR-1.6, NFR-3.3, CON-007.</t>
        </is>
      </c>
      <c r="H18" s="11" t="inlineStr">
        <is>
          <t>—</t>
        </is>
      </c>
      <c r="I18" s="11" t="inlineStr">
        <is>
          <t>Robert</t>
        </is>
      </c>
      <c r="J18" s="11" t="inlineStr">
        <is>
          <t>—</t>
        </is>
      </c>
      <c r="K18" s="12" t="inlineStr">
        <is>
          <t>DECIDED</t>
        </is>
      </c>
    </row>
    <row r="19" ht="72" customHeight="1">
      <c r="B19" s="8" t="inlineStr">
        <is>
          <t>DEC-015</t>
        </is>
      </c>
      <c r="C19" s="9">
        <f>DATE(2026,9,29)</f>
        <v/>
      </c>
      <c r="D19" s="8" t="inlineStr">
        <is>
          <t>The multi-document transaction encloses the requests update (including assignment, resolution and closure fields and the version increment) and the requestHistory insert; auditLog is written after commit by the Atlas trigger and is eventually consistent (target &lt;= 60 s); DEC-011 consequences are published after commit</t>
        </is>
      </c>
      <c r="E19" s="10" t="inlineStr">
        <is>
          <t>Keep AC-NFR-1.10 as written with an application-written audit row; trigger writes requestHistory too; no transaction with compensation; embed history in the request document; pessimistic locking</t>
        </is>
      </c>
      <c r="F19" s="10" t="inlineStr">
        <is>
          <t>AC-NFR-1.10 assumed SQL trigger semantics. MongoDB documents that Atlas Database Triggers run from change streams on a separate compute layer, after commit, so the audit write cannot be inside the transaction. Assignment 2 s.3.2 reasoned from SQL; the M2 decision keeps its intent (audit below the application, unbypassable) and drops its mechanism. The implemented slice has no transaction at all (review comment R-15). Optimistic concurrency by a version field, backed by a unique {requestId, requestVersion} index. Full record: docs/decisions/ADR/DEC-015_Transaction_Boundary_v0.1.md</t>
        </is>
      </c>
      <c r="G19" s="10" t="inlineStr">
        <is>
          <t>Aborted transactions emit no change events, so audit correctness is kept and only timeliness is traded. New failure mode: trigger suspended beyond the oplog window (RSK-016). StatusTransitionService gains an injected unit-of-work port; publication moves outside withTransaction. Requires CR-001 (AC-NFR-1.10 v0.3). Affects NFR-1.10, CON-017, CON-015, NFR-1.9, FR-6.3, FR-6.7, FR-5.4, DEC-011, DEC-014.</t>
        </is>
      </c>
      <c r="H19" s="11" t="inlineStr">
        <is>
          <t>—</t>
        </is>
      </c>
      <c r="I19" s="11" t="inlineStr">
        <is>
          <t>Robert</t>
        </is>
      </c>
      <c r="J19" s="11" t="inlineStr">
        <is>
          <t>—</t>
        </is>
      </c>
      <c r="K19" s="12" t="inlineStr">
        <is>
          <t>DECIDED</t>
        </is>
      </c>
    </row>
    <row r="20" ht="72" customHeight="1">
      <c r="B20" s="8" t="inlineStr">
        <is>
          <t>DEC-016</t>
        </is>
      </c>
      <c r="C20" s="9">
        <f>DATE(2026,9,29)</f>
        <v/>
      </c>
      <c r="D20" s="8" t="inlineStr">
        <is>
          <t>Set retention per processing purpose: personal fields of request data no longer than 30 days from closure (purpose A); auditLog at least 90 days as a separate accountability purpose, with content minimised to identifiers, field names and status values (purpose B); backups 7 days (C); performance logs 30 days (D); non-identifying aggregates indefinitely</t>
        </is>
      </c>
      <c r="E20" s="10" t="inlineStr">
        <is>
          <t>Reduce NFR-1.4 to 30 days; extend DEC-005 to 90 days for all data; keep both figures with full-document audit; pseudonymise audit actor ids with a keyed hash</t>
        </is>
      </c>
      <c r="F20" s="10" t="inlineStr">
        <is>
          <t>Resolves OI-06. NFR-1.4 (90 days) and DEC-005 (one month) contradict only if the audit log holds purpose-A personal data. POPIA constrains the maximum retention period and does not mandate a minimum; s.14(1) permits retention for a lawful purpose related to the organisation's functions, which the accountability purpose is. The trigger runs with full_document:false and copies field names, never values (minimisation rule M-1). Full record: docs/decisions/ADR/DEC-016_Retention_Purposes_v0.1.md</t>
        </is>
      </c>
      <c r="G20" s="10" t="inlineStr">
        <is>
          <t>OI-06 closed. Neither figure changes; measurement bases of NFR-1.4, NFR-1.9 and NFR-4.2 amended and AC-NFR-4.2 v0.3 written (CR-002). Staff actor ids survive 90 days in auditLog and are nulled from requestHistory at anonymisation. Enforcement of purpose A is by PROC-001 (SCP-020 remains deferred); this raises OI-13 (FR-6.7 vs anonymisation, CR-003). OI-12 remains open: 30 days is a team position, not STK-009-validated.</t>
        </is>
      </c>
      <c r="H20" s="11" t="inlineStr">
        <is>
          <t>—</t>
        </is>
      </c>
      <c r="I20" s="11" t="inlineStr">
        <is>
          <t>Robert</t>
        </is>
      </c>
      <c r="J20" s="11" t="inlineStr">
        <is>
          <t>—</t>
        </is>
      </c>
      <c r="K20" s="12" t="inlineStr">
        <is>
          <t>DECIDED</t>
        </is>
      </c>
    </row>
  </sheetData>
  <mergeCells count="7">
    <mergeCell ref="B1:K1"/>
    <mergeCell ref="N7:O7"/>
    <mergeCell ref="N6:O6"/>
    <mergeCell ref="B2:K2"/>
    <mergeCell ref="N4:P4"/>
    <mergeCell ref="N5:O5"/>
    <mergeCell ref="N8:O8"/>
  </mergeCells>
  <conditionalFormatting sqref="C5:C12">
    <cfRule type="cellIs" priority="26" operator="equal" dxfId="0">
      <formula>"—"</formula>
    </cfRule>
  </conditionalFormatting>
  <conditionalFormatting sqref="C13">
    <cfRule type="cellIs" priority="22" operator="equal" dxfId="0">
      <formula>"—"</formula>
    </cfRule>
  </conditionalFormatting>
  <conditionalFormatting sqref="C15">
    <cfRule type="cellIs" priority="19" operator="equal" dxfId="0">
      <formula>"—"</formula>
    </cfRule>
  </conditionalFormatting>
  <conditionalFormatting sqref="H5">
    <cfRule type="cellIs" priority="2" operator="equal" dxfId="0">
      <formula>"—"</formula>
    </cfRule>
  </conditionalFormatting>
  <conditionalFormatting sqref="H7">
    <cfRule type="cellIs" priority="3" operator="equal" dxfId="0">
      <formula>"—"</formula>
    </cfRule>
  </conditionalFormatting>
  <conditionalFormatting sqref="H9">
    <cfRule type="cellIs" priority="4" operator="equal" dxfId="0">
      <formula>"—"</formula>
    </cfRule>
  </conditionalFormatting>
  <conditionalFormatting sqref="H11">
    <cfRule type="cellIs" priority="5" operator="equal" dxfId="0">
      <formula>"—"</formula>
    </cfRule>
  </conditionalFormatting>
  <conditionalFormatting sqref="H16">
    <cfRule type="cellIs" priority="7" operator="equal" dxfId="0">
      <formula>"—"</formula>
    </cfRule>
  </conditionalFormatting>
  <conditionalFormatting sqref="J5">
    <cfRule type="cellIs" priority="12" operator="equal" dxfId="0">
      <formula>"—"</formula>
    </cfRule>
  </conditionalFormatting>
  <conditionalFormatting sqref="J11">
    <cfRule type="cellIs" priority="11" operator="equal" dxfId="0">
      <formula>"—"</formula>
    </cfRule>
  </conditionalFormatting>
  <conditionalFormatting sqref="J14">
    <cfRule type="cellIs" priority="9" operator="equal" dxfId="0">
      <formula>"—"</formula>
    </cfRule>
  </conditionalFormatting>
  <conditionalFormatting sqref="J16">
    <cfRule type="cellIs" priority="8" operator="equal" dxfId="0">
      <formula>"—"</formula>
    </cfRule>
  </conditionalFormatting>
  <conditionalFormatting sqref="K5:K17">
    <cfRule type="containsText" priority="23" operator="containsText" dxfId="2" text="DECIDED">
      <formula>NOT(ISERROR(SEARCH("DECIDED",K5)))</formula>
    </cfRule>
    <cfRule type="containsText" priority="24" operator="containsText" dxfId="1" text="DEFERRED">
      <formula>NOT(ISERROR(SEARCH("DEFERRED",K5)))</formula>
    </cfRule>
  </conditionalFormatting>
  <conditionalFormatting sqref="C17">
    <cfRule type="cellIs" priority="1" operator="equal" dxfId="0">
      <formula>"—"</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ethan lindsay</dc:creator>
  <dcterms:created xsi:type="dcterms:W3CDTF">2026-09-08T21:28:48Z</dcterms:created>
  <dcterms:modified xsi:type="dcterms:W3CDTF">2026-09-29T22:10:10Z</dcterms:modified>
  <cp:lastModifiedBy>ethan lindsay</cp:lastModifiedBy>
</cp:coreProperties>
</file>