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s\SEN381\Repo\Ticketing-System\docs\decisions\Decision Log\"/>
    </mc:Choice>
  </mc:AlternateContent>
  <xr:revisionPtr revIDLastSave="0" documentId="13_ncr:1_{DB3A6926-FE0C-4ED3-AE37-1B0D1FD3936E}" xr6:coauthVersionLast="47" xr6:coauthVersionMax="47" xr10:uidLastSave="{00000000-0000-0000-0000-000000000000}"/>
  <bookViews>
    <workbookView xWindow="-120" yWindow="-120" windowWidth="29040" windowHeight="15720" xr2:uid="{00000000-000D-0000-FFFF-FFFF00000000}"/>
  </bookViews>
  <sheets>
    <sheet name="Decision 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 r="C22" i="1"/>
  <c r="C21" i="1"/>
  <c r="C20" i="1"/>
  <c r="C19" i="1"/>
  <c r="C18" i="1"/>
  <c r="C17" i="1"/>
  <c r="C16" i="1"/>
  <c r="C15" i="1"/>
  <c r="C14" i="1"/>
  <c r="C13" i="1"/>
  <c r="C12" i="1"/>
  <c r="C11" i="1"/>
  <c r="C10" i="1"/>
  <c r="C9" i="1"/>
  <c r="C8" i="1"/>
  <c r="P7" i="1"/>
  <c r="C7" i="1"/>
  <c r="P6" i="1"/>
  <c r="C6" i="1"/>
  <c r="P5" i="1"/>
  <c r="P8" i="1" s="1"/>
  <c r="C5" i="1"/>
</calcChain>
</file>

<file path=xl/sharedStrings.xml><?xml version="1.0" encoding="utf-8"?>
<sst xmlns="http://schemas.openxmlformats.org/spreadsheetml/2006/main" count="228" uniqueCount="160">
  <si>
    <t>Decision Log</t>
  </si>
  <si>
    <t>ID</t>
  </si>
  <si>
    <t>Date</t>
  </si>
  <si>
    <t>Decision or deferment</t>
  </si>
  <si>
    <t>Alternatives considered</t>
  </si>
  <si>
    <t>Rationale</t>
  </si>
  <si>
    <t>Consequences / downstream impact</t>
  </si>
  <si>
    <t>Evidence still required (if deferred)</t>
  </si>
  <si>
    <t>Owner</t>
  </si>
  <si>
    <t>Preserved from v1.0</t>
  </si>
  <si>
    <t>Status</t>
  </si>
  <si>
    <t>Decision 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</si>
  <si>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</si>
  <si>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</si>
  <si>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</si>
  <si>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</si>
  <si>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</si>
  <si>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</si>
  <si>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Ethan</t>
  </si>
  <si>
    <t>DECIDED</t>
  </si>
  <si>
    <t>Decided</t>
  </si>
  <si>
    <t>DEC-002</t>
  </si>
  <si>
    <t>Adopt a MERN stack: MongoDB, Express, React and Node.js, with MongoDB Atlas as the managed database service</t>
  </si>
  <si>
    <t>Database decision such as Postgres and MySQL which would change the backend platform. Compared in full in the DEC-002 ADR (PostgreSQL and MySQL variants of the same Node/Express/React stack).</t>
  </si>
  <si>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 Full record, including the weighted comparison matrix required by M2 brief §5.5 (MERN 74.0, PostgreSQL 72.0, MySQL 68.0; sensitivity recorded; weights pending owner review): docs/decisions/ADR/DEC-002_Technology_Stack_v0.1.md</t>
  </si>
  <si>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</si>
  <si>
    <t>Defer selection of the technology stack. Evidence required at deferment: verified availability of candidate technologies in the institutional environment under CON-008. Working deadline of 22 September imposed by CON-013.</t>
  </si>
  <si>
    <t>Deferred</t>
  </si>
  <si>
    <t>DEC-003</t>
  </si>
  <si>
    <t>Host the application on an Azure virtual machine (Azure for Students, Spain Central, Standard_B2ls_v2), for staging only, with MongoDB Atlas as the managed database service: the staging cluster is an M0 on Azure westeurope (Netherlands). The production host is not yet decided (DEC-003 v0.4). Until v0.9 this row read: "Adopt Hostinger as the application hosting and deployment platform, with MongoDB Atlas as the managed database service". No Hostinger server existed (OI-21), so DEC-003 v0.4 replaced it.</t>
  </si>
  <si>
    <t>Vercel, However Hostinger offers more flexibility and customization  given we have access to the server. v0.9: the Hostinger KVM VPS chosen at M2 is now itself an alternative. It was never provisioned: "given we have access to the server" did not hold, as no such server existed (OI-21).</t>
  </si>
  <si>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</si>
  <si>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 v0.9 (DEC-003 v0.4, 15/10/2026): the staging VM is in Spain Central, forced by the student subscription’s allowed-regions policy, and the staging cluster is in Azure westeurope, the nearest region with the free tier, so the two are not colocated; every performance result states both regions. Staging and production no longer share a host, and production’s host is undecided. The VM is paid from E. Lindsay’s student credit, which covers about 2.9 months of continuous running (to early January 2027); beyond it the list price is $34.97 a month.</t>
  </si>
  <si>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</si>
  <si>
    <t>Superseded</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</si>
  <si>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</si>
  <si>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</si>
  <si>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</si>
  <si>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</si>
  <si>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</si>
  <si>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Total logged</t>
  </si>
  <si>
    <t>DEC-005</t>
  </si>
  <si>
    <t>Retain identifiable personal information for one month, with aggregated statistics retained beyond that period</t>
  </si>
  <si>
    <t>Retain indefinitely; adopt a longer fixed period; continue deferring pending STK-009 guidance</t>
  </si>
  <si>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</si>
  <si>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</si>
  <si>
    <t>Defer the personal-information retention period. Alternatives at deferment: retain indefinitely; adopt an arbitrary fixed period. Evidence required: retention guidance from the information officer, or a documented institutional retention standard.</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</si>
  <si>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</si>
  <si>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</si>
  <si>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</si>
  <si>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</si>
  <si>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</si>
  <si>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</si>
  <si>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</si>
  <si>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</si>
  <si>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</si>
  <si>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</si>
  <si>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SUPERSEDED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</si>
  <si>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</si>
  <si>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</si>
  <si>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</si>
  <si>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</si>
  <si>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</si>
  <si>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</si>
  <si>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</si>
  <si>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</si>
  <si>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</si>
  <si>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</si>
  <si>
    <t>DEC-010</t>
  </si>
  <si>
    <t>Retain the free Atlas cluster (M0), one per environment, including production; meet the NFR-1.5 recovery point through an encrypted mongodump every 12 hours to a secure institutional server, with 7-day archive retention and a weekly restore test</t>
  </si>
  <si>
    <t>Remain on a free M0 cluster and meet the recovery point through scheduled mongodump; adopt the lowest paid tier that provides managed backup; amend NFR-1.5 through controlled change to state a recovery point the selected tier can evidence</t>
  </si>
  <si>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</si>
  <si>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</si>
  <si>
    <t>E1: BC IT confirmation of the institutional server (encrypted storage, scheduler, outbound 27017), due before the M2 presentation. E2: first restore-test log (M3). E3: cost of the lowest paid tier with managed backup (M3).</t>
  </si>
  <si>
    <t>Robert (closure); Ethan (deferment)</t>
  </si>
  <si>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</si>
  <si>
    <t>DEC-011</t>
  </si>
  <si>
    <t>Publish a domain event from the status-transition service and let interested components subscribe to it, using in-process event publication within the application layer</t>
  </si>
  <si>
    <t>Direct orchestration, in which the transition service invokes each consequence in sequence; distributed messaging through a broker or queue</t>
  </si>
  <si>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</si>
  <si>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</si>
  <si>
    <t>DEC-012</t>
  </si>
  <si>
    <t>Enforce authorisation at three points against one documented rule set: composed Express middleware at the route boundary for function-level access, the service layer for object-level access once the request document is loaded, and the response serialiser for field-level access.</t>
  </si>
  <si>
    <t>A single protection proxy per service; a centralised policy service called from every entry point; an explicit guard call at the top of each service method</t>
  </si>
  <si>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</si>
  <si>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</si>
  <si>
    <t>DEC-013</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</si>
  <si>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</si>
  <si>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</si>
  <si>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</si>
  <si>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DEC-014</t>
  </si>
  <si>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</si>
  <si>
    <t>Layered monolith organised by technical layer only; open or selectively open layering with a direct read path for reporting; service-based or microservices deployment.</t>
  </si>
  <si>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</si>
  <si>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</si>
  <si>
    <t>Christiaan</t>
  </si>
  <si>
    <t>DEC-015</t>
  </si>
  <si>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</si>
  <si>
    <t>PATCH of a status field (as implemented in the slice); GraphQL; last-write-wins without ETag; a separate idempotencyKeys collection with 24 h TTL; server-side de-duplication by body hash</t>
  </si>
  <si>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</si>
  <si>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</si>
  <si>
    <t>Robert</t>
  </si>
  <si>
    <t>DEC-016</t>
  </si>
  <si>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</si>
  <si>
    <t>Keep AC-NFR-1.10 as written with an application-written audit row; trigger writes requestHistory too; no transaction with compensation; embed history in the request document; pessimistic locking</t>
  </si>
  <si>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</si>
  <si>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</si>
  <si>
    <t>DEC-017</t>
  </si>
  <si>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</si>
  <si>
    <t>Reduce NFR-1.4 to 30 days; extend DEC-005 to 90 days for all data; keep both figures with full-document audit; pseudonymise audit actor ids with a keyed hash</t>
  </si>
  <si>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</si>
  <si>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</si>
  <si>
    <t>DEC-018</t>
  </si>
  <si>
    <t>Authenticate with local email-and-password accounts and an opaque server-side session. Passwords hashed with scrypt (N=2^15, r=8, p=3, maxmem 64 MiB) in a self-describing string. 32-byte session identifier, only its SHA-256 stored, in a `sessions` collection; cookie __Host-sid (HttpOnly, Secure, SameSite=Lax). New identifier on every login. Idle expiry: refused 30 min after lastSeenAt, refreshed at most once per 60 s (expires 29–30 min after the last request, never valid after 30). No absolute lifetime. Session middleware only resolves req.actor; only the guard returns 401/403. POST /api/v1/sessions, DELETE /api/v1/sessions/current (public, idempotent), GET /api/v1/health. Auth events to auditLog (origin 'auth', M-1). First Administrator by an interactive script; no HTTP bootstrap, no default credential</t>
  </si>
  <si>
    <t>Campus single sign-on; stateless JWT; express-session with connect-mongo; argon2id; bcrypt; middleware that returns 401 itself; an absolute session lifetime; login throttling or lockout</t>
  </si>
  <si>
    <t>Closes the forward item in DEC-015 §5. SSO conflicts with NFR-1.3/SCP-016 and depends on the institution (CON-008). JWT cannot meet AC-FR-1.4 'existing sessions are terminated' without a server-side deny-list. scrypt is built into Node, so no native dependency (CON-003, CON-008), and is an OWASP-listed alternative. An own repository makes the FR-1.4 epoch check and the NFR-3.4 idle check explicit code that can be negative-verified. No absolute lifetime and no throttling threshold, because the record states neither and choosing one would invent a value. Full record: docs/decisions/ADR/DEC-018_Authentication_and_Sessions_v0.1.md</t>
  </si>
  <si>
    <t>DB-01 v0.3 adds `sessions` (§3.9) and corrects the passwordHash annotation. DEC-003 v0.2 adds CRUD on `sessions` to the civicconnect-app role, with the requestHistory/auditLog grants unchanged. AC-FR-1.4 and AC-NFR-1.4 only partly met in M3 Phase 0. RSK-021 raised (no throttling). TD-002 records the unimplemented FR-1.6 union. Hash timing measured on a development machine only: median 293 ms (Node 22.20.0, i7-1360P)</t>
  </si>
  <si>
    <t>VPS hash timing (DEC-018 evidence item 1); smoke check against the test cluster; Atlas role verification when DB-01 layer 3 is built</t>
  </si>
  <si>
    <t>DEC-019</t>
  </si>
  <si>
    <t>Build the React client with Vite, as its own package (client/, own lockfile), into static files in client/dist that Nginx serves (DEC-015 §5); locally vite preview stands in for Nginx and proxies /api to 127.0.0.1. Run the end-to-end cases with Playwright (@playwright/test), Chromium only, in its own e2e/ package, retries 0, starting the real src/server.js and a fresh client build for every run. E2E-2's 403 assertion is marked as an expected failure citing DEF-011, never edited. E2E runs locally against the test cluster and on staging, not in CI; the recorded local run is evidence and the condition for #89 leaving draft. The blocking gate is tests/clientBoundary.test.js in npm test (no imports from src/, imports shared/domainValues.js, no status or role literals)</t>
  </si>
  <si>
    <t>Create React App; a hand-written webpack configuration; Next.js or another server-rendering framework; Cypress; Selenium / WebDriver; no browser (node:test and fetch only)</t>
  </si>
  <si>
    <t>DEC-002 fixes React but not how it is built or tested end to end. DEC-015 §5 needs a static build with no rendering server, so not Next.js; Create React App is no longer maintained. A real browser is needed for the __Host-sid cookie (DEC-018 §3) and the in-place prompt (AC-FR-1.1), and to observe that the client sent a request instead of validating it (TD-003). Playwright's built-in expected-failure annotation records DEF-011 without weakening the 403 assertion, and its webServer setting starts the API and the client build for each run. Free tools (CON-003), and the client's dev tooling stays out of the root package and the VPS install. Full record: docs/decisions/ADR/DEC-019_Client_Build_and_E2E_Tooling_v0.1.md</t>
  </si>
  <si>
    <t>DEC-003's deploy procedure has no client build step: a procedure gap for R. van der Merwe at staging time, closed by a new DEC-003 version. eslint.config.js has a client/src block (browser globals, JSX, react/jsx-uses-vars), added on #89. CI does not build the client. NFR-1.1 browser coverage not claimed (Chromium only). The E2E specs reuse PR #88's fixture harness (tests/integration/_harness.js); #88 merged on 12/10/2026</t>
  </si>
  <si>
    <t>Playwright pinned at @playwright/test 1.64.0 (exact, e2e/package.json; Chromium build 1248). Recorded local E2E run: docs/evidence/M3-e2e/E2E_local_run_2026-10-12.txt (12/10/2026, 21:27 UTC, test cluster, exit code 0): E2E-1 and E2E-2a pass, E2E-2b an expected failure with its 422 quoted. Still required: the client build step in DEC-003 before the staging run.</t>
  </si>
  <si>
    <t>Final status (M4)</t>
  </si>
  <si>
    <t>Observed consequence (M4)</t>
  </si>
  <si>
    <t>Held to the end</t>
  </si>
  <si>
    <t>The campus context held: no stakeholder or requirement was reopened because of it. POPIA (CON-007) applied throughout, which is why staging holds synthetic data only and production cannot inherit the staging regions (DEC-003 v0.5).</t>
  </si>
  <si>
    <t>Held; built as decided</t>
  </si>
  <si>
    <t>The product is Node.js and Express with a React client (DEC-019) on MongoDB Atlas. The M2 consequences materialised. Multi-document transactions on an M0 replica set carry the status transition (DEC-016): the transaction case passed on the test cluster at M3, and on a throwaway replica set in CI (PR #122). The second provider and the free tier's lack of backups stayed open (DEC-010). The free tier was not available in the student VM's region, so staging is not colocated (DEC-003 v0.5).</t>
  </si>
  <si>
    <t>Revised (DEC-003 v0.5): staging decided and built; production host undecided</t>
  </si>
  <si>
    <t>Held</t>
  </si>
  <si>
    <t>Authorisation was designed in, not retrofitted. The route guard is composed once, and a route-table test fails the build if a non-public route lacks it (NFR-3.3). The integration tests caught the wrong-role status (DEF-011). The field-level part, DEC-012 point 3, was not built (OI-16).</t>
  </si>
  <si>
    <t>Held as a team position; never validated by STK-009</t>
  </si>
  <si>
    <t>Superseded by DEC-013 (unchanged)</t>
  </si>
  <si>
    <t>No further consequence. See DEC-013.</t>
  </si>
  <si>
    <t>Every change reached dev and main by a reviewed pull request with two approvals and a merge commit; the .gitleaksignore fingerprints depend on the merge commits. The cost recorded at M1 materialised: approvals were the schedule constraint at every milestone, and the M4 plan is built around four Sunday review windows. One gap was found and closed. PR #88 merged with commits pushed after both approvals, so the approval-of-most-recent-push rule was enabled on 13/10/2026 (PED M3.4.1).</t>
  </si>
  <si>
    <t>The client instructions of 09/09/2026 became STK-010 and CON-009 to CON-019, each traceable to that capture (PED version 0.3) rather than to memory.</t>
  </si>
  <si>
    <t>Not put into operation; NFR-1.5 not evidenced</t>
  </si>
  <si>
    <t>Held in code; subscribers not registered</t>
  </si>
  <si>
    <t>The transition service publishes after commit, and the history entry is written inside the transaction, not by a subscriber. The two subscribers, requester feedback and reportingCounts, are not registered (TD-001). Publish therefore has no listeners, and the reporting projection has no recovery path (OI-14). The extensibility benefit was never exercised: SCP-014 was not admitted.</t>
  </si>
  <si>
    <t>The client is responsive web only. Browser coverage (NFR-1.1) is not claimed: E2E runs on Chromium only (DEC-019), and the BC browser set was never confirmed (OI-07).</t>
  </si>
  <si>
    <t>The layer rule is enforced: CI fails a merge when a route or middleware file imports a model or repository, as GATE-01 showed (run 38357191208, 13/10/2026). The check covers src/routes and src/middleware only. One application instance remains a single point of failure (RSK-017).</t>
  </si>
  <si>
    <t>Held; login throttling deliberately absent</t>
  </si>
  <si>
    <t>Local accounts, scrypt hashing and server-side sessions are built and tested. A test asserts the session cookie's security attributes; it failed intermittently twice, cause unknown (DEF-013). Login has no throttling: CodeQL alert #1 (missing rate limiting) has been open since PR #83, and RSK-021 is accepted, not mitigated. This blocks production use. Under the NFR-2.4 load on staging, login took 430 ms at p50, including the South Africa to Spain round trip.</t>
  </si>
  <si>
    <t>The Vite build and Playwright E2E were used as decided. At the M3 tag E2E-1 and E2E-2a pass, and E2E-2b is an expected failure on DEF-011. It exposed the missing client build step in DEC-003, which was added at v0.3. On staging the client was then built but not served until 15/10/2026 (DEF-021). E2E does not run in CI, and it was not run on staging at M3.</t>
  </si>
  <si>
    <t>The one-month period stands, but it was never confirmed with the information officer (OI-12 stays open). It is enforced only by running PROC-001 by hand (scripts/retention/proc-001-anonymise.js); automated enforcement (SCP-020) stayed deferred. Its conflict with FR-6.7 was settled by CR-003, approved by the team on 17/10/2026 (not validated with a client stakeholder), which closes OI-13.</t>
  </si>
  <si>
    <t>Held; exercised at M4 and met</t>
  </si>
  <si>
    <t>Request submission was not built through M3, so the decision was not exercised until M4. At M4 the submission form and API require exactly category, location and description: AC-FR-2.2a and AC-FR-2.2b are Met at the frozen build 6408ab7 (E2E-3; a missing field returns 400 and nothing is stored; RTM v0.11).</t>
  </si>
  <si>
    <t>The backup and restore scripts exist (scripts/backup/), but the institutional server (E1) was never confirmed, so no dump or restore test has run in any environment. The free tier held under the M3 load: NFR-2.4 passed on staging at 11.04 requests/s. The 70 % of 100 ops/s trigger was not measured (RSK-019). Real production use is one of its own re-open conditions, so it must be re-decided before production. M4 (18/10/2026): the trigger was reached. The NFR-2.4 run on staging at v4.0-M4-rc took Atlas to about 74 ops/s, over 70 % of 100 ops/s, so DEC-010's own re-open condition is met (M4 staging deploy record).</t>
  </si>
  <si>
    <t>Partly built: points 1 and 2; point 3 not built at v4.0-M4-rc</t>
  </si>
  <si>
    <t>The route guard (point 1) and the object-level checks (point 2) are built and tested, and an unguarded route fails CI. Point 3, the field-level serialiser, was not built because CFL-002 / OI-16 was never confirmed with STK-006. In its place, the whole read of a security-category request is refused to staff who are not Security Officers, which is stricter than FR-1.5 (OI-17). Unchanged at v4.0-M4-rc: AC-FR-1.5 is Partially Met (RTM v0.11). DEF-024 (S1: a per-viewer response reused from the browser cache after a user switch) was this risk materialising in the client; it was fixed with Cache-Control: no-store and is covered by E2E-10.</t>
  </si>
  <si>
    <t>Held; the five differences fixed at M4 (DEF-007 to DEF-011)</t>
  </si>
  <si>
    <t>Held; verified; submission contention found at M4</t>
  </si>
  <si>
    <t>Held; enforcement manual; CR-003 approved</t>
  </si>
  <si>
    <t>Retention per purpose stands, and OI-06 stays closed. Purpose A is enforced only by running PROC-001 by hand; SCP-020 stays deferred. The FR-6.7 conflict it exposed (OI-13) was settled by CR-003, approved by the team on 17/10/2026 and not validated with a client stakeholder. Functional Requirements v0.3 holds the FR-6.7 basis, and OI-13 is closed (Open Items v0.8).</t>
  </si>
  <si>
    <t>The transaction-boundary case passes: a failure after both writes and before commit persists neither and publishes nothing, on the test cluster at M3 and in CI (PR #122). The unique index behind its concurrency rule, (requestId, requestVersion), was absent on the test cluster until TD-004's provisioning closed DEF-015 (14 and 15/10/2026). CR-001 (AC-NFR-1.10 v0.3) was approved by the team on 17/10/2026 (not validated with a client stakeholder). The case shows the clauses that do not depend on the Atlas trigger; the trigger is not deployed, so the two auditLog clauses are not shown. M4 consequence: the FR-2.6 sequential reference is taken by incrementing one counter document inside the same create transaction (counterRepository.js, unitOfWork.js). Under 100 simultaneous submissions on staging (NFR-2.1, 18/10/2026) the transactions write-conflicted on that document (WriteConflict, code 112), and the driver re-ran them for up to 120 s. 30 of 100 were not saved, and 43 were saved after the client had gone. NFR-2.4 failed the same way (17 of 450 submissions timed out at the client, all saved). The proposed fix takes the number with an atomic $inc before the transaction (FR-2.6 needs unique and immutable, not gap-free). Recorded as DEF-032 (S1, P2).</t>
  </si>
  <si>
    <t>v0.1 to v0.3 rested on a VPS that never existed (OI-21), found only when someone was asked to deploy, and staging moved to a disposable Azure VM (v0.4). The first staging deploy (15/10/2026) found two configuration faults that the health check could not see: a URI without the database name (DEF-020) and the client not served (DEF-021). v0.5 does four things. It records the hand deploy. It moves the Nginx and systemd files into the repository (PR #133). It accepts non-colocation and the self-signed certificate for staging. It leaves production without a host, so no production release is possible under it. Since 18/10/2026 12:15 UTC staging serves https://civicconnect.co.za with a Let's Encrypt certificate; the release-candidate checks ran on the self-signed certificate before it (DEC-003 v0.5, Edge row).</t>
  </si>
  <si>
    <t>The integration cases were written to DEC-015 before the code and found five differences inherited from the M2 slice: DEF-007 to DEF-011, 15 of 40 checks failing at M3. The same 15 fail in CI on a throwaway replica set (PR #122). The client sends a fresh key for every transition, so DEF-009 does not reach it. All five were fixed in PR #136 (804138f, e973a9d): the integration cases pass 40 of 40 at the frozen build 6408ab7 and in CI on dev (run 39079571516). The routes DEC-015 v0.1 did not list were settled before they were built (DEC-015 Addendum A, 17/10/2026). E2E passed 56 of 56 in four browsers at 6408ab7, and the four-role walkthrough on staging at v4.0-M4-rc (CC-2026-000521, 18/10/2026) matched every step. The CI integration job has been a required check on dev since 18/10/2026 (TD-008 repaid).</t>
  </si>
  <si>
    <t>Decisions and deferments taken during M1, M2 and M3, the alternatives weighed, and what each one commits or blocks downstream | Version 0.10 (17/10/2026, R. van der Merwe): columns L (Final status, M4) and M (Observed consequence, M4) added for every decision. Columns B to K are unchanged, so each decision reads as it was taken. The cells that waited on the release candidate (DEC-006, DEC-012, DEC-015, DEC-017) were completed on 18/10/2026 from the v4.0-M4-rc evidence, and the DEC-005, DEC-010, DEC-016 and DEC-017 consequences were brought up to date with the CR approvals of 17/10/2026 and the staging runs of 18/10/2026. DEC-016 cites DEF-032; DEC-003 records the staging domain and certificate of 18/10/2026; DEC-015 records the integration job as a required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</si>
</sst>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b/>
      <sz val="10.5"/>
      <color theme="5" tint="-0.499984740745262"/>
      <name val="Aptos Narrow"/>
      <family val="2"/>
      <scheme val="minor"/>
    </font>
  </fonts>
  <fills count="6">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1" fillId="4" borderId="1" xfId="0" applyFont="1" applyFill="1" applyBorder="1" applyAlignment="1">
      <alignment horizontal="left" vertical="center" indent="1"/>
    </xf>
    <xf numFmtId="0" fontId="0" fillId="0" borderId="2" xfId="0" applyBorder="1"/>
    <xf numFmtId="0" fontId="2" fillId="0" borderId="0" xfId="0" applyFont="1" applyAlignment="1">
      <alignment vertical="center"/>
    </xf>
    <xf numFmtId="0" fontId="0" fillId="0" borderId="0" xfId="0"/>
    <xf numFmtId="0" fontId="7" fillId="0" borderId="1" xfId="0" applyFont="1" applyBorder="1" applyAlignment="1">
      <alignment horizontal="center" vertical="center"/>
    </xf>
    <xf numFmtId="0" fontId="0" fillId="0" borderId="3" xfId="0" applyBorder="1"/>
    <xf numFmtId="0" fontId="0" fillId="3" borderId="1" xfId="0" applyFill="1" applyBorder="1" applyAlignment="1">
      <alignment horizontal="left" vertical="center"/>
    </xf>
    <xf numFmtId="0" fontId="0" fillId="3" borderId="1" xfId="0" applyFill="1" applyBorder="1" applyAlignment="1">
      <alignment horizontal="left" vertical="center" indent="1"/>
    </xf>
    <xf numFmtId="0" fontId="3" fillId="0" borderId="0" xfId="0" applyFont="1" applyAlignment="1">
      <alignment vertical="center"/>
    </xf>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3"/>
  <sheetViews>
    <sheetView tabSelected="1" zoomScaleNormal="100" workbookViewId="0">
      <pane ySplit="4" topLeftCell="A5" activePane="bottomLeft" state="frozen"/>
      <selection pane="bottomLeft"/>
    </sheetView>
  </sheetViews>
  <sheetFormatPr defaultRowHeight="15" x14ac:dyDescent="0.25"/>
  <cols>
    <col min="1" max="1" width="2.28515625" customWidth="1"/>
    <col min="2" max="2" width="18.140625" customWidth="1"/>
    <col min="3" max="3" width="30.28515625" bestFit="1" customWidth="1"/>
    <col min="4" max="4" width="37" customWidth="1"/>
    <col min="5" max="5" width="38.85546875" customWidth="1"/>
    <col min="6" max="6" width="64.85546875" customWidth="1"/>
    <col min="7" max="7" width="53.7109375" customWidth="1"/>
    <col min="8" max="8" width="44.42578125" customWidth="1"/>
    <col min="9" max="9" width="11.140625" customWidth="1"/>
    <col min="10" max="10" width="46.28515625" customWidth="1"/>
    <col min="11" max="11" width="18.5703125" customWidth="1"/>
    <col min="12" max="12" width="36.42578125" customWidth="1"/>
    <col min="13" max="13" width="53.7109375" customWidth="1"/>
    <col min="14" max="14" width="24" customWidth="1"/>
    <col min="16" max="16" width="31.140625" customWidth="1"/>
  </cols>
  <sheetData>
    <row r="1" spans="2:16" ht="26.25" customHeight="1" x14ac:dyDescent="0.25">
      <c r="B1" s="22" t="s">
        <v>0</v>
      </c>
      <c r="C1" s="23"/>
      <c r="D1" s="23"/>
      <c r="E1" s="23"/>
      <c r="F1" s="23"/>
      <c r="G1" s="23"/>
      <c r="H1" s="23"/>
      <c r="I1" s="23"/>
      <c r="J1" s="23"/>
      <c r="K1" s="23"/>
    </row>
    <row r="2" spans="2:16" x14ac:dyDescent="0.25">
      <c r="B2" s="28" t="s">
        <v>159</v>
      </c>
      <c r="C2" s="23"/>
      <c r="D2" s="23"/>
      <c r="E2" s="23"/>
      <c r="F2" s="23"/>
      <c r="G2" s="23"/>
      <c r="H2" s="23"/>
      <c r="I2" s="23"/>
      <c r="J2" s="23"/>
      <c r="K2" s="23"/>
    </row>
    <row r="4" spans="2:16" ht="36" customHeight="1" x14ac:dyDescent="0.25">
      <c r="B4" s="1" t="s">
        <v>1</v>
      </c>
      <c r="C4" s="2" t="s">
        <v>2</v>
      </c>
      <c r="D4" s="1" t="s">
        <v>3</v>
      </c>
      <c r="E4" s="1" t="s">
        <v>4</v>
      </c>
      <c r="F4" s="1" t="s">
        <v>5</v>
      </c>
      <c r="G4" s="1" t="s">
        <v>6</v>
      </c>
      <c r="H4" s="1" t="s">
        <v>7</v>
      </c>
      <c r="I4" s="2" t="s">
        <v>8</v>
      </c>
      <c r="J4" s="2" t="s">
        <v>9</v>
      </c>
      <c r="K4" s="2" t="s">
        <v>10</v>
      </c>
      <c r="L4" s="2" t="s">
        <v>124</v>
      </c>
      <c r="M4" s="2" t="s">
        <v>125</v>
      </c>
      <c r="N4" s="24" t="s">
        <v>11</v>
      </c>
      <c r="O4" s="25"/>
      <c r="P4" s="21"/>
    </row>
    <row r="5" spans="2:16" ht="90" customHeight="1" x14ac:dyDescent="0.25">
      <c r="B5" s="3" t="s">
        <v>12</v>
      </c>
      <c r="C5" s="4">
        <f>DATE(2026,9,6)</f>
        <v>46271</v>
      </c>
      <c r="D5" s="3" t="s">
        <v>13</v>
      </c>
      <c r="E5" s="5" t="s">
        <v>14</v>
      </c>
      <c r="F5" s="5" t="s">
        <v>15</v>
      </c>
      <c r="G5" s="5" t="s">
        <v>16</v>
      </c>
      <c r="H5" s="6" t="s">
        <v>17</v>
      </c>
      <c r="I5" s="6" t="s">
        <v>18</v>
      </c>
      <c r="J5" s="6" t="s">
        <v>17</v>
      </c>
      <c r="K5" s="7" t="s">
        <v>19</v>
      </c>
      <c r="L5" s="5" t="s">
        <v>126</v>
      </c>
      <c r="M5" s="5" t="s">
        <v>127</v>
      </c>
      <c r="N5" s="27" t="s">
        <v>20</v>
      </c>
      <c r="O5" s="21"/>
      <c r="P5" s="13">
        <f>COUNTIF($K$5:$K$148,"DECIDED")</f>
        <v>18</v>
      </c>
    </row>
    <row r="6" spans="2:16" ht="200.1" customHeight="1" x14ac:dyDescent="0.25">
      <c r="B6" s="8" t="s">
        <v>21</v>
      </c>
      <c r="C6" s="9">
        <f>DATE(2026,9,29)</f>
        <v>46294</v>
      </c>
      <c r="D6" s="8" t="s">
        <v>22</v>
      </c>
      <c r="E6" s="10" t="s">
        <v>23</v>
      </c>
      <c r="F6" s="10" t="s">
        <v>24</v>
      </c>
      <c r="G6" s="10" t="s">
        <v>25</v>
      </c>
      <c r="H6" s="11" t="s">
        <v>17</v>
      </c>
      <c r="I6" s="11" t="s">
        <v>18</v>
      </c>
      <c r="J6" s="11" t="s">
        <v>26</v>
      </c>
      <c r="K6" s="7" t="s">
        <v>19</v>
      </c>
      <c r="L6" s="10" t="s">
        <v>128</v>
      </c>
      <c r="M6" s="10" t="s">
        <v>129</v>
      </c>
      <c r="N6" s="27" t="s">
        <v>27</v>
      </c>
      <c r="O6" s="21"/>
      <c r="P6" s="13">
        <f>COUNTIF($K$5:$K$513,"DEFERRED")</f>
        <v>0</v>
      </c>
    </row>
    <row r="7" spans="2:16" ht="199.5" customHeight="1" x14ac:dyDescent="0.25">
      <c r="B7" s="3" t="s">
        <v>28</v>
      </c>
      <c r="C7" s="4">
        <f>DATE(2026,9,29)</f>
        <v>46294</v>
      </c>
      <c r="D7" s="3" t="s">
        <v>29</v>
      </c>
      <c r="E7" s="5" t="s">
        <v>30</v>
      </c>
      <c r="F7" s="5" t="s">
        <v>31</v>
      </c>
      <c r="G7" s="5" t="s">
        <v>32</v>
      </c>
      <c r="H7" s="6" t="s">
        <v>17</v>
      </c>
      <c r="I7" s="6" t="s">
        <v>18</v>
      </c>
      <c r="J7" s="6" t="s">
        <v>33</v>
      </c>
      <c r="K7" s="7" t="s">
        <v>19</v>
      </c>
      <c r="L7" s="5" t="s">
        <v>130</v>
      </c>
      <c r="M7" s="5" t="s">
        <v>157</v>
      </c>
      <c r="N7" s="26" t="s">
        <v>34</v>
      </c>
      <c r="O7" s="21"/>
      <c r="P7" s="13">
        <f>COUNTIF($K$5:$K$762,"SUPERSEDED")</f>
        <v>1</v>
      </c>
    </row>
    <row r="8" spans="2:16" ht="57" customHeight="1" x14ac:dyDescent="0.25">
      <c r="B8" s="8" t="s">
        <v>35</v>
      </c>
      <c r="C8" s="9">
        <f>DATE(2026,9,6)</f>
        <v>46271</v>
      </c>
      <c r="D8" s="8" t="s">
        <v>36</v>
      </c>
      <c r="E8" s="10" t="s">
        <v>37</v>
      </c>
      <c r="F8" s="10" t="s">
        <v>38</v>
      </c>
      <c r="G8" s="10" t="s">
        <v>39</v>
      </c>
      <c r="H8" s="11" t="s">
        <v>17</v>
      </c>
      <c r="I8" s="11" t="s">
        <v>18</v>
      </c>
      <c r="J8" s="11" t="s">
        <v>17</v>
      </c>
      <c r="K8" s="12" t="s">
        <v>19</v>
      </c>
      <c r="L8" s="10" t="s">
        <v>131</v>
      </c>
      <c r="M8" s="10" t="s">
        <v>132</v>
      </c>
      <c r="N8" s="20" t="s">
        <v>40</v>
      </c>
      <c r="O8" s="21"/>
      <c r="P8" s="14">
        <f>SUM(P5:P7)</f>
        <v>19</v>
      </c>
    </row>
    <row r="9" spans="2:16" ht="156.75" customHeight="1" x14ac:dyDescent="0.25">
      <c r="B9" s="3" t="s">
        <v>41</v>
      </c>
      <c r="C9" s="4">
        <f>DATE(2026,9,29)</f>
        <v>46294</v>
      </c>
      <c r="D9" s="3" t="s">
        <v>42</v>
      </c>
      <c r="E9" s="5" t="s">
        <v>43</v>
      </c>
      <c r="F9" s="5" t="s">
        <v>44</v>
      </c>
      <c r="G9" s="5" t="s">
        <v>45</v>
      </c>
      <c r="H9" s="6" t="s">
        <v>17</v>
      </c>
      <c r="I9" s="6" t="s">
        <v>18</v>
      </c>
      <c r="J9" s="6" t="s">
        <v>46</v>
      </c>
      <c r="K9" s="12" t="s">
        <v>19</v>
      </c>
      <c r="L9" s="5" t="s">
        <v>133</v>
      </c>
      <c r="M9" s="5" t="s">
        <v>146</v>
      </c>
    </row>
    <row r="10" spans="2:16" ht="42.75" customHeight="1" x14ac:dyDescent="0.25">
      <c r="B10" s="8" t="s">
        <v>47</v>
      </c>
      <c r="C10" s="9">
        <f>DATE(2026,9,6)</f>
        <v>46271</v>
      </c>
      <c r="D10" s="8" t="s">
        <v>48</v>
      </c>
      <c r="E10" s="10" t="s">
        <v>49</v>
      </c>
      <c r="F10" s="10" t="s">
        <v>50</v>
      </c>
      <c r="G10" s="10" t="s">
        <v>51</v>
      </c>
      <c r="H10" s="11" t="s">
        <v>17</v>
      </c>
      <c r="I10" s="11" t="s">
        <v>18</v>
      </c>
      <c r="J10" s="11" t="s">
        <v>17</v>
      </c>
      <c r="K10" s="12" t="s">
        <v>19</v>
      </c>
      <c r="L10" s="10" t="s">
        <v>147</v>
      </c>
      <c r="M10" s="10" t="s">
        <v>148</v>
      </c>
    </row>
    <row r="11" spans="2:16" ht="42.75" customHeight="1" x14ac:dyDescent="0.25">
      <c r="B11" s="3" t="s">
        <v>52</v>
      </c>
      <c r="C11" s="4">
        <f>DATE(2026,9,6)</f>
        <v>46271</v>
      </c>
      <c r="D11" s="3" t="s">
        <v>53</v>
      </c>
      <c r="E11" s="5" t="s">
        <v>54</v>
      </c>
      <c r="F11" s="5" t="s">
        <v>55</v>
      </c>
      <c r="G11" s="5" t="s">
        <v>56</v>
      </c>
      <c r="H11" s="6" t="s">
        <v>17</v>
      </c>
      <c r="I11" s="6" t="s">
        <v>18</v>
      </c>
      <c r="J11" s="6" t="s">
        <v>17</v>
      </c>
      <c r="K11" s="19" t="s">
        <v>57</v>
      </c>
      <c r="L11" s="5" t="s">
        <v>134</v>
      </c>
      <c r="M11" s="5" t="s">
        <v>135</v>
      </c>
    </row>
    <row r="12" spans="2:16" ht="71.25" customHeight="1" x14ac:dyDescent="0.25">
      <c r="B12" s="8" t="s">
        <v>58</v>
      </c>
      <c r="C12" s="9">
        <f>DATE(2026,9,8)</f>
        <v>46273</v>
      </c>
      <c r="D12" s="8" t="s">
        <v>59</v>
      </c>
      <c r="E12" s="10" t="s">
        <v>60</v>
      </c>
      <c r="F12" s="10" t="s">
        <v>61</v>
      </c>
      <c r="G12" s="10" t="s">
        <v>62</v>
      </c>
      <c r="H12" s="11" t="s">
        <v>17</v>
      </c>
      <c r="I12" s="11" t="s">
        <v>18</v>
      </c>
      <c r="J12" s="11" t="s">
        <v>17</v>
      </c>
      <c r="K12" s="12" t="s">
        <v>19</v>
      </c>
      <c r="L12" s="10" t="s">
        <v>131</v>
      </c>
      <c r="M12" s="10" t="s">
        <v>136</v>
      </c>
    </row>
    <row r="13" spans="2:16" ht="160.15" customHeight="1" x14ac:dyDescent="0.25">
      <c r="B13" s="8" t="s">
        <v>63</v>
      </c>
      <c r="C13" s="9">
        <f>DATE(2026,9,9)</f>
        <v>46274</v>
      </c>
      <c r="D13" s="8" t="s">
        <v>64</v>
      </c>
      <c r="E13" s="10" t="s">
        <v>65</v>
      </c>
      <c r="F13" s="10" t="s">
        <v>66</v>
      </c>
      <c r="G13" s="10" t="s">
        <v>67</v>
      </c>
      <c r="H13" s="11" t="s">
        <v>17</v>
      </c>
      <c r="I13" s="11" t="s">
        <v>18</v>
      </c>
      <c r="J13" s="11" t="s">
        <v>17</v>
      </c>
      <c r="K13" s="12" t="s">
        <v>19</v>
      </c>
      <c r="L13" s="10" t="s">
        <v>131</v>
      </c>
      <c r="M13" s="10" t="s">
        <v>137</v>
      </c>
    </row>
    <row r="14" spans="2:16" ht="150" customHeight="1" x14ac:dyDescent="0.25">
      <c r="B14" s="7" t="s">
        <v>68</v>
      </c>
      <c r="C14" s="16">
        <f t="shared" ref="C14:C21" si="0">DATE(2026,9,29)</f>
        <v>46294</v>
      </c>
      <c r="D14" s="18" t="s">
        <v>69</v>
      </c>
      <c r="E14" s="17" t="s">
        <v>70</v>
      </c>
      <c r="F14" s="17" t="s">
        <v>71</v>
      </c>
      <c r="G14" s="17" t="s">
        <v>72</v>
      </c>
      <c r="H14" s="17" t="s">
        <v>73</v>
      </c>
      <c r="I14" s="6" t="s">
        <v>74</v>
      </c>
      <c r="J14" s="6" t="s">
        <v>75</v>
      </c>
      <c r="K14" s="12" t="s">
        <v>19</v>
      </c>
      <c r="L14" s="17" t="s">
        <v>138</v>
      </c>
      <c r="M14" s="17" t="s">
        <v>149</v>
      </c>
    </row>
    <row r="15" spans="2:16" ht="299.25" customHeight="1" x14ac:dyDescent="0.25">
      <c r="B15" s="8" t="s">
        <v>76</v>
      </c>
      <c r="C15" s="9">
        <f t="shared" si="0"/>
        <v>46294</v>
      </c>
      <c r="D15" s="8" t="s">
        <v>77</v>
      </c>
      <c r="E15" s="10" t="s">
        <v>78</v>
      </c>
      <c r="F15" s="10" t="s">
        <v>79</v>
      </c>
      <c r="G15" s="10" t="s">
        <v>80</v>
      </c>
      <c r="H15" s="11" t="s">
        <v>17</v>
      </c>
      <c r="I15" s="11" t="s">
        <v>18</v>
      </c>
      <c r="J15" s="11" t="s">
        <v>17</v>
      </c>
      <c r="K15" s="12" t="s">
        <v>20</v>
      </c>
      <c r="L15" s="10" t="s">
        <v>139</v>
      </c>
      <c r="M15" s="10" t="s">
        <v>140</v>
      </c>
    </row>
    <row r="16" spans="2:16" ht="360" customHeight="1" x14ac:dyDescent="0.25">
      <c r="B16" s="7" t="s">
        <v>81</v>
      </c>
      <c r="C16" s="16">
        <f t="shared" si="0"/>
        <v>46294</v>
      </c>
      <c r="D16" s="18" t="s">
        <v>82</v>
      </c>
      <c r="E16" s="15" t="s">
        <v>83</v>
      </c>
      <c r="F16" s="15" t="s">
        <v>84</v>
      </c>
      <c r="G16" s="15" t="s">
        <v>85</v>
      </c>
      <c r="H16" s="6" t="s">
        <v>17</v>
      </c>
      <c r="I16" s="6" t="s">
        <v>18</v>
      </c>
      <c r="J16" s="6" t="s">
        <v>17</v>
      </c>
      <c r="K16" s="12" t="s">
        <v>20</v>
      </c>
      <c r="L16" s="15" t="s">
        <v>150</v>
      </c>
      <c r="M16" s="15" t="s">
        <v>151</v>
      </c>
    </row>
    <row r="17" spans="2:13" ht="72" customHeight="1" x14ac:dyDescent="0.25">
      <c r="B17" s="8" t="s">
        <v>86</v>
      </c>
      <c r="C17" s="9">
        <f t="shared" si="0"/>
        <v>46294</v>
      </c>
      <c r="D17" s="8" t="s">
        <v>87</v>
      </c>
      <c r="E17" s="10" t="s">
        <v>54</v>
      </c>
      <c r="F17" s="10" t="s">
        <v>88</v>
      </c>
      <c r="G17" s="10" t="s">
        <v>89</v>
      </c>
      <c r="H17" s="11" t="s">
        <v>17</v>
      </c>
      <c r="I17" s="11" t="s">
        <v>18</v>
      </c>
      <c r="J17" s="11" t="s">
        <v>17</v>
      </c>
      <c r="K17" s="12" t="s">
        <v>19</v>
      </c>
      <c r="L17" s="10" t="s">
        <v>131</v>
      </c>
      <c r="M17" s="10" t="s">
        <v>141</v>
      </c>
    </row>
    <row r="18" spans="2:13" ht="156.75" customHeight="1" x14ac:dyDescent="0.25">
      <c r="B18" s="8" t="s">
        <v>90</v>
      </c>
      <c r="C18" s="9">
        <f t="shared" si="0"/>
        <v>46294</v>
      </c>
      <c r="D18" s="8" t="s">
        <v>91</v>
      </c>
      <c r="E18" s="10" t="s">
        <v>92</v>
      </c>
      <c r="F18" s="10" t="s">
        <v>93</v>
      </c>
      <c r="G18" s="10" t="s">
        <v>94</v>
      </c>
      <c r="H18" s="11" t="s">
        <v>17</v>
      </c>
      <c r="I18" s="11" t="s">
        <v>95</v>
      </c>
      <c r="J18" s="11" t="s">
        <v>17</v>
      </c>
      <c r="K18" s="12" t="s">
        <v>19</v>
      </c>
      <c r="L18" s="10" t="s">
        <v>131</v>
      </c>
      <c r="M18" s="10" t="s">
        <v>142</v>
      </c>
    </row>
    <row r="19" spans="2:13" ht="72" customHeight="1" x14ac:dyDescent="0.25">
      <c r="B19" s="8" t="s">
        <v>96</v>
      </c>
      <c r="C19" s="9">
        <f t="shared" si="0"/>
        <v>46294</v>
      </c>
      <c r="D19" s="8" t="s">
        <v>97</v>
      </c>
      <c r="E19" s="10" t="s">
        <v>98</v>
      </c>
      <c r="F19" s="10" t="s">
        <v>99</v>
      </c>
      <c r="G19" s="10" t="s">
        <v>100</v>
      </c>
      <c r="H19" s="11" t="s">
        <v>17</v>
      </c>
      <c r="I19" s="11" t="s">
        <v>101</v>
      </c>
      <c r="J19" s="11" t="s">
        <v>17</v>
      </c>
      <c r="K19" s="12" t="s">
        <v>19</v>
      </c>
      <c r="L19" s="10" t="s">
        <v>152</v>
      </c>
      <c r="M19" s="10" t="s">
        <v>158</v>
      </c>
    </row>
    <row r="20" spans="2:13" ht="72" customHeight="1" x14ac:dyDescent="0.25">
      <c r="B20" s="8" t="s">
        <v>102</v>
      </c>
      <c r="C20" s="9">
        <f t="shared" si="0"/>
        <v>46294</v>
      </c>
      <c r="D20" s="8" t="s">
        <v>103</v>
      </c>
      <c r="E20" s="10" t="s">
        <v>104</v>
      </c>
      <c r="F20" s="10" t="s">
        <v>105</v>
      </c>
      <c r="G20" s="10" t="s">
        <v>106</v>
      </c>
      <c r="H20" s="11" t="s">
        <v>17</v>
      </c>
      <c r="I20" s="11" t="s">
        <v>101</v>
      </c>
      <c r="J20" s="11" t="s">
        <v>17</v>
      </c>
      <c r="K20" s="12" t="s">
        <v>19</v>
      </c>
      <c r="L20" s="10" t="s">
        <v>153</v>
      </c>
      <c r="M20" s="10" t="s">
        <v>156</v>
      </c>
    </row>
    <row r="21" spans="2:13" ht="72" customHeight="1" x14ac:dyDescent="0.25">
      <c r="B21" s="8" t="s">
        <v>107</v>
      </c>
      <c r="C21" s="9">
        <f t="shared" si="0"/>
        <v>46294</v>
      </c>
      <c r="D21" s="8" t="s">
        <v>108</v>
      </c>
      <c r="E21" s="10" t="s">
        <v>109</v>
      </c>
      <c r="F21" s="10" t="s">
        <v>110</v>
      </c>
      <c r="G21" s="10" t="s">
        <v>111</v>
      </c>
      <c r="H21" s="11" t="s">
        <v>17</v>
      </c>
      <c r="I21" s="11" t="s">
        <v>101</v>
      </c>
      <c r="J21" s="11" t="s">
        <v>17</v>
      </c>
      <c r="K21" s="12" t="s">
        <v>19</v>
      </c>
      <c r="L21" s="10" t="s">
        <v>154</v>
      </c>
      <c r="M21" s="10" t="s">
        <v>155</v>
      </c>
    </row>
    <row r="22" spans="2:13" ht="72" customHeight="1" x14ac:dyDescent="0.25">
      <c r="B22" s="8" t="s">
        <v>112</v>
      </c>
      <c r="C22" s="9">
        <f>DATE(2026,10,11)</f>
        <v>46306</v>
      </c>
      <c r="D22" s="8" t="s">
        <v>113</v>
      </c>
      <c r="E22" s="10" t="s">
        <v>114</v>
      </c>
      <c r="F22" s="10" t="s">
        <v>115</v>
      </c>
      <c r="G22" s="10" t="s">
        <v>116</v>
      </c>
      <c r="H22" s="11" t="s">
        <v>117</v>
      </c>
      <c r="I22" s="11" t="s">
        <v>18</v>
      </c>
      <c r="J22" s="11" t="s">
        <v>17</v>
      </c>
      <c r="K22" s="12" t="s">
        <v>19</v>
      </c>
      <c r="L22" s="10" t="s">
        <v>143</v>
      </c>
      <c r="M22" s="10" t="s">
        <v>144</v>
      </c>
    </row>
    <row r="23" spans="2:13" ht="268.7" customHeight="1" x14ac:dyDescent="0.25">
      <c r="B23" s="8" t="s">
        <v>118</v>
      </c>
      <c r="C23" s="9">
        <f>DATE(2026,10,12)</f>
        <v>46307</v>
      </c>
      <c r="D23" s="8" t="s">
        <v>119</v>
      </c>
      <c r="E23" s="10" t="s">
        <v>120</v>
      </c>
      <c r="F23" s="10" t="s">
        <v>121</v>
      </c>
      <c r="G23" s="10" t="s">
        <v>122</v>
      </c>
      <c r="H23" s="11" t="s">
        <v>123</v>
      </c>
      <c r="I23" s="11" t="s">
        <v>18</v>
      </c>
      <c r="J23" s="11" t="s">
        <v>17</v>
      </c>
      <c r="K23" s="12" t="s">
        <v>19</v>
      </c>
      <c r="L23" s="10" t="s">
        <v>131</v>
      </c>
      <c r="M23" s="10" t="s">
        <v>145</v>
      </c>
    </row>
  </sheetData>
  <mergeCells count="7">
    <mergeCell ref="N8:O8"/>
    <mergeCell ref="B1:K1"/>
    <mergeCell ref="N4:P4"/>
    <mergeCell ref="N7:O7"/>
    <mergeCell ref="N6:O6"/>
    <mergeCell ref="B2:K2"/>
    <mergeCell ref="N5:O5"/>
  </mergeCells>
  <conditionalFormatting sqref="C5:C13">
    <cfRule type="cellIs" dxfId="13" priority="22" operator="equal">
      <formula>"—"</formula>
    </cfRule>
  </conditionalFormatting>
  <conditionalFormatting sqref="C15">
    <cfRule type="cellIs" dxfId="12" priority="19" operator="equal">
      <formula>"—"</formula>
    </cfRule>
  </conditionalFormatting>
  <conditionalFormatting sqref="C17:C21">
    <cfRule type="cellIs" dxfId="11" priority="1" operator="equal">
      <formula>"—"</formula>
    </cfRule>
  </conditionalFormatting>
  <conditionalFormatting sqref="H5">
    <cfRule type="cellIs" dxfId="10" priority="2" operator="equal">
      <formula>"—"</formula>
    </cfRule>
  </conditionalFormatting>
  <conditionalFormatting sqref="H7">
    <cfRule type="cellIs" dxfId="9" priority="3" operator="equal">
      <formula>"—"</formula>
    </cfRule>
  </conditionalFormatting>
  <conditionalFormatting sqref="H9">
    <cfRule type="cellIs" dxfId="8" priority="4" operator="equal">
      <formula>"—"</formula>
    </cfRule>
  </conditionalFormatting>
  <conditionalFormatting sqref="H11">
    <cfRule type="cellIs" dxfId="7" priority="5" operator="equal">
      <formula>"—"</formula>
    </cfRule>
  </conditionalFormatting>
  <conditionalFormatting sqref="H16">
    <cfRule type="cellIs" dxfId="6" priority="7" operator="equal">
      <formula>"—"</formula>
    </cfRule>
  </conditionalFormatting>
  <conditionalFormatting sqref="J5">
    <cfRule type="cellIs" dxfId="5" priority="12" operator="equal">
      <formula>"—"</formula>
    </cfRule>
  </conditionalFormatting>
  <conditionalFormatting sqref="J11">
    <cfRule type="cellIs" dxfId="4" priority="11" operator="equal">
      <formula>"—"</formula>
    </cfRule>
  </conditionalFormatting>
  <conditionalFormatting sqref="J14">
    <cfRule type="cellIs" dxfId="3" priority="9" operator="equal">
      <formula>"—"</formula>
    </cfRule>
  </conditionalFormatting>
  <conditionalFormatting sqref="J16">
    <cfRule type="cellIs" dxfId="2" priority="8" operator="equal">
      <formula>"—"</formula>
    </cfRule>
  </conditionalFormatting>
  <conditionalFormatting sqref="K5:K23">
    <cfRule type="containsText" dxfId="1" priority="23" operator="containsText" text="DECIDED">
      <formula>NOT(ISERROR(SEARCH("DECIDED",K5)))</formula>
    </cfRule>
    <cfRule type="containsText" dxfId="0" priority="24" operator="containsText"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Robert Roelof Van Der Merwe</cp:lastModifiedBy>
  <dcterms:created xsi:type="dcterms:W3CDTF">2026-09-08T21:28:48Z</dcterms:created>
  <dcterms:modified xsi:type="dcterms:W3CDTF">2026-10-18T13:29:51Z</dcterms:modified>
</cp:coreProperties>
</file>