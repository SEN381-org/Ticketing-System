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SEN381\Repo\Ticketing-System\docs\decisions\Decision Log\"/>
    </mc:Choice>
  </mc:AlternateContent>
  <xr:revisionPtr revIDLastSave="0" documentId="13_ncr:1_{1824C2AC-5539-4781-A784-5C17199A6FF2}" xr6:coauthVersionLast="47" xr6:coauthVersionMax="47" xr10:uidLastSave="{00000000-0000-0000-0000-000000000000}"/>
  <bookViews>
    <workbookView xWindow="-120" yWindow="-120" windowWidth="29040" windowHeight="15720"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<sst xmlns="http://schemas.openxmlformats.org/spreadsheetml/2006/main" count="228" uniqueCount="160">
  <si>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</si>
  <si>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</si>
  <si>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</si>
  <si>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</si>
  <si>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</si>
  <si>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</si>
  <si>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</si>
  <si>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</si>
  <si>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</si>
  <si>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</si>
  <si>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</si>
  <si>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</si>
  <si>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</si>
  <si>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</si>
  <si>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</si>
  <si>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</si>
  <si>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</si>
  <si>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</si>
  <si>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</si>
  <si>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</si>
  <si>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</si>
  <si>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</si>
  <si>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</si>
  <si>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</si>
  <si>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</si>
  <si>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</si>
  <si>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</si>
  <si>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</si>
  <si>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</si>
  <si>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Host the application on an Azure virtual machine (Azure for Students, Spain Central, Standard_B2ls_v2), for staging only, with MongoDB Atlas as the managed database service: the staging cluster is an M0 on Azure westeurope (Netherlands). The production host is not yet decided (DEC-003 v0.4). Until v0.9 this row read: "Adopt Hostinger as the application hosting and deployment platform, with MongoDB Atlas as the managed database service". No Hostinger server existed (OI-21), so DEC-003 v0.4 replaced it.</t>
  </si>
  <si>
    <t>Vercel, However Hostinger offers more flexibility and customization  given we have access to the server. v0.9: the Hostinger KVM VPS chosen at M2 is now itself an alternative. It was never provisioned: "given we have access to the server" did not hold, as no such server existed (OI-21).</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</si>
  <si>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</si>
  <si>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 v0.9 (DEC-003 v0.4, 15/10/2026): the staging VM is in Spain Central, forced by the student subscription’s allowed-regions policy, and the staging cluster is in Azure westeurope, the nearest region with the free tier, so the two are not colocated; every performance result states both regions. Staging and production no longer share a host, and production’s host is undecided. The VM is paid from E. Lindsay’s student credit, which covers about 2.9 months of continuous running (to early January 2027); beyond it the list price is $34.97 a month.</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</si>
  <si>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</si>
  <si>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</si>
  <si>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</si>
  <si>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</si>
  <si>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</si>
  <si>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</si>
  <si>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</si>
  <si>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</si>
  <si>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</si>
  <si>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</si>
  <si>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</si>
  <si>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</si>
  <si>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</si>
  <si>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</si>
  <si>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</si>
  <si>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</si>
  <si>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</si>
  <si>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</si>
  <si>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</si>
  <si>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</si>
  <si>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</si>
  <si>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</si>
  <si>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</si>
  <si>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</si>
  <si>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</si>
  <si>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</si>
  <si>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</si>
  <si>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</si>
  <si>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</si>
  <si>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</si>
  <si>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</si>
  <si>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</si>
  <si>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</si>
  <si>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</si>
  <si>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</si>
  <si>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</si>
  <si>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</si>
  <si>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</si>
  <si>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</si>
  <si>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</si>
  <si>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</si>
  <si>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</si>
  <si>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</si>
  <si>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</si>
  <si>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</si>
  <si>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</si>
  <si>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</si>
  <si>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</si>
  <si>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</si>
  <si>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</si>
  <si>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</si>
  <si>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</si>
  <si>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</si>
  <si>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</si>
  <si>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</si>
  <si>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</si>
  <si>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</si>
  <si>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</si>
  <si>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</si>
  <si>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</si>
  <si>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</si>
  <si>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</si>
  <si>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</si>
  <si>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</si>
  <si>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</si>
  <si>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</si>
  <si>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</si>
  <si>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</si>
  <si>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</si>
  <si>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</si>
  <si>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</si>
  <si>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</si>
  <si>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</si>
  <si>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</si>
  <si>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</si>
  <si>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</si>
  <si>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</si>
  <si>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</si>
  <si>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</si>
  <si>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</si>
  <si>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</si>
  <si>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</si>
  <si>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</si>
  <si>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</si>
  <si>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</si>
  <si>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</si>
  <si>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</si>
  <si>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</si>
  <si>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</si>
  <si>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has a client/src block (browser globals, JSX, react/jsx-uses-vars), added on #89. CI does not build the client. NFR-1.1 browser coverage not claimed (Chromium only). The E2E specs reuse PR #88's fixture harness (tests/integration/_harness.js); #88 merged on 12/10/2026</t>
  </si>
  <si>
    <t>Playwright pinned at @playwright/test 1.64.0 (exact, e2e/package.json; Chromium build 1248). Recorded local E2E run: docs/evidence/M3-e2e/E2E_local_run_2026-10-12.txt (12/10/2026, 21:27 UTC, test cluster, exit code 0): E2E-1 and E2E-2a pass, E2E-2b an expected failure with its 422 quoted. Still required: the client build step in DEC-003 before the staging run.</t>
  </si>
  <si>
    <t>Final status (M4)</t>
  </si>
  <si>
    <t>Observed consequence (M4)</t>
  </si>
  <si>
    <t>Held to the end</t>
  </si>
  <si>
    <t>The campus context held: no stakeholder or requirement was reopened because of it. POPIA (CON-007) applied throughout, which is why staging holds synthetic data only and production cannot inherit the staging regions (DEC-003 v0.5).</t>
  </si>
  <si>
    <t>Held; built as decided</t>
  </si>
  <si>
    <t>The product is Node.js and Express with a React client (DEC-019) on MongoDB Atlas. The M2 consequences materialised. Multi-document transactions on an M0 replica set carry the status transition (DEC-016): the transaction case passed on the test cluster at M3, and on a throwaway replica set in CI (PR #122). The second provider and the free tier's lack of backups stayed open (DEC-010). The free tier was not available in the student VM's region, so staging is not colocated (DEC-003 v0.5).</t>
  </si>
  <si>
    <t>Revised (DEC-003 v0.5): staging decided and built; production host undecided</t>
  </si>
  <si>
    <t>Held</t>
  </si>
  <si>
    <t>Held as a team position; never validated by STK-009</t>
  </si>
  <si>
    <t>Superseded by DEC-013 (unchanged)</t>
  </si>
  <si>
    <t>No further consequence. See DEC-013.</t>
  </si>
  <si>
    <t>Every change reached dev and main by a reviewed pull request with two approvals and a merge commit; the .gitleaksignore fingerprints depend on the merge commits. The cost recorded at M1 materialised: approvals were the schedule constraint at every milestone, and the M4 plan is built around four Sunday review windows. One gap was found and closed. PR #88 merged with commits pushed after both approvals, so the approval-of-most-recent-push rule was enabled on 13/10/2026 (PED M3.4.1).</t>
  </si>
  <si>
    <t>The client instructions of 09/09/2026 became STK-010 and CON-009 to CON-019, each traceable to that capture (PED version 0.3) rather than to memory.</t>
  </si>
  <si>
    <t>Not put into operation; NFR-1.5 not evidenced</t>
  </si>
  <si>
    <t>The layer rule is enforced: CI fails a merge when a route or middleware file imports a model or repository, as GATE-01 showed (run 38357191208, 13/10/2026). The check covers src/routes and src/middleware only. One application instance remains a single point of failure (RSK-017).</t>
  </si>
  <si>
    <t>Held; login throttling deliberately absent</t>
  </si>
  <si>
    <t>The one-month period stands, but it was never confirmed with the information officer (OI-12 stays open). It is enforced only by running PROC-001 by hand (scripts/retention/proc-001-anonymise.js); automated enforcement (SCP-020) stayed deferred. Its conflict with FR-6.7 was settled by CR-003, approved by the team on 17/10/2026 (not validated with a client stakeholder), which closes OI-13.</t>
  </si>
  <si>
    <t>Held; exercised at M4 and met</t>
  </si>
  <si>
    <t>Request submission was not built through M3, so the decision was not exercised until M4. At M4 the submission form and API require exactly category, location and description: AC-FR-2.2a and AC-FR-2.2b are Met at the frozen build 6408ab7 (E2E-3; a missing field returns 400 and nothing is stored; RTM v0.11).</t>
  </si>
  <si>
    <t>The backup and restore scripts exist (scripts/backup/), but the institutional server (E1) was never confirmed, so no dump or restore test has run in any environment. The free tier held under the M3 load: NFR-2.4 passed on staging at 11.04 requests/s. The 70 % of 100 ops/s trigger was not measured (RSK-019). Real production use is one of its own re-open conditions, so it must be re-decided before production. M4 (18/10/2026): the trigger was reached. The NFR-2.4 run on staging at v4.0-M4-rc took Atlas to about 74 ops/s, over 70 % of 100 ops/s, so DEC-010's own re-open condition is met (M4 staging deploy record).</t>
  </si>
  <si>
    <t>Partly built: points 1 and 2; point 3 not built at v4.0-M4-rc</t>
  </si>
  <si>
    <t>The route guard (point 1) and the object-level checks (point 2) are built and tested, and an unguarded route fails CI. Point 3, the field-level serialiser, was not built because CFL-002 / OI-16 was never confirmed with STK-006. In its place, the whole read of a security-category request is refused to staff who are not Security Officers, which is stricter than FR-1.5 (OI-17). Unchanged at v4.0-M4-rc: AC-FR-1.5 is Partially Met (RTM v0.11). DEF-024 (S1: a per-viewer response reused from the browser cache after a user switch) was this risk materialising in the client; it was fixed with Cache-Control: no-store and is covered by E2E-10.</t>
  </si>
  <si>
    <t>Held; the five differences fixed at M4 (DEF-007 to DEF-011)</t>
  </si>
  <si>
    <t>Held; verified; submission contention found at M4</t>
  </si>
  <si>
    <t>Held; enforcement manual; CR-003 approved</t>
  </si>
  <si>
    <t>Retention per purpose stands, and OI-06 stays closed. Purpose A is enforced only by running PROC-001 by hand; SCP-020 stays deferred. The FR-6.7 conflict it exposed (OI-13) was settled by CR-003, approved by the team on 17/10/2026 and not validated with a client stakeholder. Functional Requirements v0.3 holds the FR-6.7 basis, and OI-13 is closed (Open Items v0.8).</t>
  </si>
  <si>
    <t>The transaction-boundary case passes: a failure after both writes and before commit persists neither and publishes nothing, on the test cluster at M3 and in CI (PR #122). The unique index behind its concurrency rule, (requestId, requestVersion), was absent on the test cluster until TD-004's provisioning closed DEF-015 (14 and 15/10/2026). CR-001 (AC-NFR-1.10 v0.3) was approved by the team on 17/10/2026 (not validated with a client stakeholder). The case shows the clauses that do not depend on the Atlas trigger; the trigger is not deployed, so the two auditLog clauses are not shown. M4 consequence: the FR-2.6 sequential reference is taken by incrementing one counter document inside the same create transaction (counterRepository.js, unitOfWork.js). Under 100 simultaneous submissions on staging (NFR-2.1, 18/10/2026) the transactions write-conflicted on that document (WriteConflict, code 112), and the driver re-ran them for up to 120 s. 30 of 100 were not saved, and 43 were saved after the client had gone. NFR-2.4 failed the same way (17 of 450 submissions timed out at the client, all saved). The proposed fix takes the number with an atomic $inc before the transaction (FR-2.6 needs unique and immutable, not gap-free). Recorded as DEF-032 (S1, P2).</t>
  </si>
  <si>
    <t>v0.1 to v0.3 rested on a VPS that never existed (OI-21), found only when someone was asked to deploy, and staging moved to a disposable Azure VM (v0.4). The first staging deploy (15/10/2026) found two configuration faults that the health check could not see: a URI without the database name (DEF-020) and the client not served (DEF-021). v0.5 does four things. It records the hand deploy. It moves the Nginx and systemd files into the repository (PR #133). It accepts non-colocation and the self-signed certificate for staging. It leaves production without a host, so no production release is possible under it. Since 18/10/2026 12:15 UTC staging serves https://civicconnect.co.za with a Let's Encrypt certificate; the release-candidate checks ran on the self-signed certificate before it (DEC-003 v0.5, Edge row).</t>
  </si>
  <si>
    <t>The integration cases were written to DEC-015 before the code and found five differences inherited from the M2 slice: DEF-007 to DEF-011, 15 of 40 checks failing at M3. The same 15 fail in CI on a throwaway replica set (PR #122). The client sends a fresh key for every transition, so DEF-009 does not reach it. All five were fixed in PR #136 (804138f, e973a9d): the integration cases pass 40 of 40 at the frozen build 6408ab7 and in CI on dev (run 39079571516). The routes DEC-015 v0.1 did not list were settled before they were built (DEC-015 Addendum A, 17/10/2026). E2E passed 56 of 56 in four browsers at 6408ab7, and the four-role walkthrough on staging at v4.0-M4-rc (CC-2026-000521, 18/10/2026) matched every step. The CI integration job has been a required check on dev since 18/10/2026 (TD-008 repaid).</t>
  </si>
  <si>
    <t>Held; the notification subscriber is registered, the reportingCounts projection is not (TD-001 partly repaid)</t>
  </si>
  <si>
    <t>Authorisation was designed in, not retrofitted. The route guard is composed once, and a route-table test fails the build if a non-public route lacks it (NFR-3.3). The integration tests caught the wrong-role status (DEF-011), which was fixed in PR #136: a role not permitted for a transition now gets 403 (integration 40 of 40 at 6408ab7). The field-level part, DEC-012 point 3, was not built (OI-16).</t>
  </si>
  <si>
    <t>The client is responsive web only. Browser coverage (NFR-1.1) is Partially Met: at M4 the E2E journeys ran 56 of 56 in four browser projects (Chromium, Chrome, Edge and Playwright's Firefox) at 6408ab7, but prior browser releases and Mozilla's release Firefox are not shown (RTM v0.11), and the BC browser set was never confirmed (OI-07).</t>
  </si>
  <si>
    <t>Local accounts, scrypt hashing and server-side sessions are built and tested. A test asserts the session cookie's security attributes; it failed intermittently twice, cause unknown (DEF-013). Login has no throttling: CodeQL alert #1 (missing rate limiting) has been open since PR #83, and RSK-021 is accepted, not mitigated. This blocks production use. Under the NFR-2.4 load on staging, login took 430 ms at p50 at M3 (15/10/2026) and 432 ms at M4 (v4.0-M4-rc, 18/10/2026), including the South Africa to Spain round trip.</t>
  </si>
  <si>
    <t>The Vite build and Playwright E2E were used as decided. At the M3 tag E2E-1 and E2E-2a pass, and E2E-2b is an expected failure on DEF-011. It exposed the missing client build step in DEC-003, which was added at v0.3. On staging the client was then built but not served until 15/10/2026 (DEF-021). It was not run on staging at M3. At M4, DEF-011 was fixed and E2E-2b's expected-failure mark removed (PR #136), and E2E ran 56 of 56 in four browsers at 6408ab7. E2E still does not run in CI.</t>
  </si>
  <si>
    <t>Decisions and deferments taken during M1, M2 and M3, the alternatives weighed, and what each one commits or blocks downstream | Version 0.10 (17/10/2026, R. van der Merwe): columns L (Final status, M4) and M (Observed consequence, M4) added for every decision. Columns B to K are unchanged, so each decision reads as it was taken. The cells that waited on the release candidate (DEC-006, DEC-012, DEC-015, DEC-017) were completed on 18/10/2026 from the v4.0-M4-rc evidence, and the DEC-005, DEC-010, DEC-016 and DEC-017 consequences were brought up to date with the CR approvals of 17/10/2026 and the staging runs of 18/10/2026. DEC-016 cites DEF-032; DEC-003 records the staging domain and certificate of 18/10/2026; DEC-015 records the integration job as a required check. After review (18/10/2026): DEC-011 (L15, M15) records the registered notification subscriber, and DEC-004, DEC-013, DEC-018 and DEC-019 (M8, M17, M22, M23) record the M4 fixes and four-browser E2E runs.</t>
  </si>
  <si>
    <t>The transition service publishes after commit, and the history entry is written inside the transaction, not by a subscriber. At M4 the requester-feedback subscriber (NotificationSubscriber, FR-3.4) is registered in the composed application (src/composition.js, PR #136), so a status change reaches the requester as an in-application notification. The reportingCounts projection is not registered, because it has no recovery path (OI-14); the management view counts from requests directly (TD-001 partly repaid, Technical Debt Register v0.4). SCP-014 (delivery by email or push) was not admitted.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</si>
</sst>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7" fillId="0" borderId="1" xfId="0" applyFont="1" applyBorder="1" applyAlignment="1">
      <alignment horizontal="center" vertical="center"/>
    </xf>
    <xf numFmtId="0" fontId="0" fillId="0" borderId="3" xfId="0" applyBorder="1"/>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zoomScaleNormal="100" workbookViewId="0">
      <pane ySplit="4" topLeftCell="A5" activePane="bottomLeft" state="frozen"/>
      <selection pane="bottomLeft"/>
    </sheetView>
  </sheetViews>
  <sheetFormatPr defaultRowHeight="15" x14ac:dyDescent="0.25"/>
  <cols>
    <col min="1" max="1" width="2.28515625" customWidth="1"/>
    <col min="2" max="2" width="18.140625" customWidth="1"/>
    <col min="3" max="3" width="30.28515625" bestFit="1" customWidth="1"/>
    <col min="4" max="4" width="37" customWidth="1"/>
    <col min="5" max="5" width="38.85546875" customWidth="1"/>
    <col min="6" max="6" width="64.85546875" customWidth="1"/>
    <col min="7" max="7" width="53.7109375" customWidth="1"/>
    <col min="8" max="8" width="44.42578125" customWidth="1"/>
    <col min="9" max="9" width="11.140625" customWidth="1"/>
    <col min="10" max="10" width="46.28515625" customWidth="1"/>
    <col min="11" max="11" width="18.5703125" customWidth="1"/>
    <col min="12" max="12" width="36.42578125" customWidth="1"/>
    <col min="13" max="13" width="53.7109375" customWidth="1"/>
    <col min="14" max="14" width="24" customWidth="1"/>
    <col min="16" max="16" width="31.140625" customWidth="1"/>
  </cols>
  <sheetData>
    <row r="1" spans="2:16" ht="26.25" customHeight="1" x14ac:dyDescent="0.25">
      <c r="B1" s="22" t="s">
        <v>0</v>
      </c>
      <c r="C1" s="23"/>
      <c r="D1" s="23"/>
      <c r="E1" s="23"/>
      <c r="F1" s="23"/>
      <c r="G1" s="23"/>
      <c r="H1" s="23"/>
      <c r="I1" s="23"/>
      <c r="J1" s="23"/>
      <c r="K1" s="23"/>
    </row>
    <row r="2" spans="2:16" x14ac:dyDescent="0.25">
      <c r="B2" s="28" t="s">
        <v>158</v>
      </c>
      <c r="C2" s="23"/>
      <c r="D2" s="23"/>
      <c r="E2" s="23"/>
      <c r="F2" s="23"/>
      <c r="G2" s="23"/>
      <c r="H2" s="23"/>
      <c r="I2" s="23"/>
      <c r="J2" s="23"/>
      <c r="K2" s="23"/>
    </row>
    <row r="4" spans="2:16" ht="36" customHeight="1" x14ac:dyDescent="0.25">
      <c r="B4" s="1" t="s">
        <v>1</v>
      </c>
      <c r="C4" s="2" t="s">
        <v>2</v>
      </c>
      <c r="D4" s="1" t="s">
        <v>3</v>
      </c>
      <c r="E4" s="1" t="s">
        <v>4</v>
      </c>
      <c r="F4" s="1" t="s">
        <v>5</v>
      </c>
      <c r="G4" s="1" t="s">
        <v>6</v>
      </c>
      <c r="H4" s="1" t="s">
        <v>7</v>
      </c>
      <c r="I4" s="2" t="s">
        <v>8</v>
      </c>
      <c r="J4" s="2" t="s">
        <v>9</v>
      </c>
      <c r="K4" s="2" t="s">
        <v>10</v>
      </c>
      <c r="L4" s="2" t="s">
        <v>124</v>
      </c>
      <c r="M4" s="2" t="s">
        <v>125</v>
      </c>
      <c r="N4" s="24" t="s">
        <v>11</v>
      </c>
      <c r="O4" s="25"/>
      <c r="P4" s="21"/>
    </row>
    <row r="5" spans="2:16" ht="90" customHeight="1" x14ac:dyDescent="0.25">
      <c r="B5" s="3" t="s">
        <v>12</v>
      </c>
      <c r="C5" s="4">
        <f>DATE(2026,9,6)</f>
        <v>46271</v>
      </c>
      <c r="D5" s="3" t="s">
        <v>13</v>
      </c>
      <c r="E5" s="5" t="s">
        <v>14</v>
      </c>
      <c r="F5" s="5" t="s">
        <v>15</v>
      </c>
      <c r="G5" s="5" t="s">
        <v>16</v>
      </c>
      <c r="H5" s="6" t="s">
        <v>17</v>
      </c>
      <c r="I5" s="6" t="s">
        <v>18</v>
      </c>
      <c r="J5" s="6" t="s">
        <v>17</v>
      </c>
      <c r="K5" s="7" t="s">
        <v>19</v>
      </c>
      <c r="L5" s="5" t="s">
        <v>126</v>
      </c>
      <c r="M5" s="5" t="s">
        <v>127</v>
      </c>
      <c r="N5" s="27" t="s">
        <v>20</v>
      </c>
      <c r="O5" s="21"/>
      <c r="P5" s="13">
        <f>COUNTIF($K$5:$K$148,"DECIDED")</f>
        <v>18</v>
      </c>
    </row>
    <row r="6" spans="2:16" ht="200.1" customHeight="1" x14ac:dyDescent="0.25">
      <c r="B6" s="8" t="s">
        <v>21</v>
      </c>
      <c r="C6" s="9">
        <f>DATE(2026,9,29)</f>
        <v>46294</v>
      </c>
      <c r="D6" s="8" t="s">
        <v>22</v>
      </c>
      <c r="E6" s="10" t="s">
        <v>23</v>
      </c>
      <c r="F6" s="10" t="s">
        <v>24</v>
      </c>
      <c r="G6" s="10" t="s">
        <v>25</v>
      </c>
      <c r="H6" s="11" t="s">
        <v>17</v>
      </c>
      <c r="I6" s="11" t="s">
        <v>18</v>
      </c>
      <c r="J6" s="11" t="s">
        <v>26</v>
      </c>
      <c r="K6" s="7" t="s">
        <v>19</v>
      </c>
      <c r="L6" s="10" t="s">
        <v>128</v>
      </c>
      <c r="M6" s="10" t="s">
        <v>129</v>
      </c>
      <c r="N6" s="27" t="s">
        <v>27</v>
      </c>
      <c r="O6" s="21"/>
      <c r="P6" s="13">
        <f>COUNTIF($K$5:$K$513,"DEFERRED")</f>
        <v>0</v>
      </c>
    </row>
    <row r="7" spans="2:16" ht="199.5" customHeight="1" x14ac:dyDescent="0.25">
      <c r="B7" s="3" t="s">
        <v>28</v>
      </c>
      <c r="C7" s="4">
        <f>DATE(2026,9,29)</f>
        <v>46294</v>
      </c>
      <c r="D7" s="3" t="s">
        <v>29</v>
      </c>
      <c r="E7" s="5" t="s">
        <v>30</v>
      </c>
      <c r="F7" s="5" t="s">
        <v>31</v>
      </c>
      <c r="G7" s="5" t="s">
        <v>32</v>
      </c>
      <c r="H7" s="6" t="s">
        <v>17</v>
      </c>
      <c r="I7" s="6" t="s">
        <v>18</v>
      </c>
      <c r="J7" s="6" t="s">
        <v>33</v>
      </c>
      <c r="K7" s="7" t="s">
        <v>19</v>
      </c>
      <c r="L7" s="5" t="s">
        <v>130</v>
      </c>
      <c r="M7" s="5" t="s">
        <v>151</v>
      </c>
      <c r="N7" s="26" t="s">
        <v>34</v>
      </c>
      <c r="O7" s="21"/>
      <c r="P7" s="13">
        <f>COUNTIF($K$5:$K$762,"SUPERSEDED")</f>
        <v>1</v>
      </c>
    </row>
    <row r="8" spans="2:16" ht="57" customHeight="1" x14ac:dyDescent="0.25">
      <c r="B8" s="8" t="s">
        <v>35</v>
      </c>
      <c r="C8" s="9">
        <f>DATE(2026,9,6)</f>
        <v>46271</v>
      </c>
      <c r="D8" s="8" t="s">
        <v>36</v>
      </c>
      <c r="E8" s="10" t="s">
        <v>37</v>
      </c>
      <c r="F8" s="10" t="s">
        <v>38</v>
      </c>
      <c r="G8" s="10" t="s">
        <v>39</v>
      </c>
      <c r="H8" s="11" t="s">
        <v>17</v>
      </c>
      <c r="I8" s="11" t="s">
        <v>18</v>
      </c>
      <c r="J8" s="11" t="s">
        <v>17</v>
      </c>
      <c r="K8" s="12" t="s">
        <v>19</v>
      </c>
      <c r="L8" s="10" t="s">
        <v>131</v>
      </c>
      <c r="M8" s="10" t="s">
        <v>154</v>
      </c>
      <c r="N8" s="20" t="s">
        <v>40</v>
      </c>
      <c r="O8" s="21"/>
      <c r="P8" s="14">
        <f>SUM(P5:P7)</f>
        <v>19</v>
      </c>
    </row>
    <row r="9" spans="2:16" ht="156.75" customHeight="1" x14ac:dyDescent="0.25">
      <c r="B9" s="3" t="s">
        <v>41</v>
      </c>
      <c r="C9" s="4">
        <f>DATE(2026,9,29)</f>
        <v>46294</v>
      </c>
      <c r="D9" s="3" t="s">
        <v>42</v>
      </c>
      <c r="E9" s="5" t="s">
        <v>43</v>
      </c>
      <c r="F9" s="5" t="s">
        <v>44</v>
      </c>
      <c r="G9" s="5" t="s">
        <v>45</v>
      </c>
      <c r="H9" s="6" t="s">
        <v>17</v>
      </c>
      <c r="I9" s="6" t="s">
        <v>18</v>
      </c>
      <c r="J9" s="6" t="s">
        <v>46</v>
      </c>
      <c r="K9" s="12" t="s">
        <v>19</v>
      </c>
      <c r="L9" s="5" t="s">
        <v>132</v>
      </c>
      <c r="M9" s="5" t="s">
        <v>140</v>
      </c>
    </row>
    <row r="10" spans="2:16" ht="42.75" customHeight="1" x14ac:dyDescent="0.25">
      <c r="B10" s="8" t="s">
        <v>47</v>
      </c>
      <c r="C10" s="9">
        <f>DATE(2026,9,6)</f>
        <v>46271</v>
      </c>
      <c r="D10" s="8" t="s">
        <v>48</v>
      </c>
      <c r="E10" s="10" t="s">
        <v>49</v>
      </c>
      <c r="F10" s="10" t="s">
        <v>50</v>
      </c>
      <c r="G10" s="10" t="s">
        <v>51</v>
      </c>
      <c r="H10" s="11" t="s">
        <v>17</v>
      </c>
      <c r="I10" s="11" t="s">
        <v>18</v>
      </c>
      <c r="J10" s="11" t="s">
        <v>17</v>
      </c>
      <c r="K10" s="12" t="s">
        <v>19</v>
      </c>
      <c r="L10" s="10" t="s">
        <v>141</v>
      </c>
      <c r="M10" s="10" t="s">
        <v>142</v>
      </c>
    </row>
    <row r="11" spans="2:16" ht="42.75" customHeight="1" x14ac:dyDescent="0.25">
      <c r="B11" s="3" t="s">
        <v>52</v>
      </c>
      <c r="C11" s="4">
        <f>DATE(2026,9,6)</f>
        <v>46271</v>
      </c>
      <c r="D11" s="3" t="s">
        <v>53</v>
      </c>
      <c r="E11" s="5" t="s">
        <v>54</v>
      </c>
      <c r="F11" s="5" t="s">
        <v>55</v>
      </c>
      <c r="G11" s="5" t="s">
        <v>56</v>
      </c>
      <c r="H11" s="6" t="s">
        <v>17</v>
      </c>
      <c r="I11" s="6" t="s">
        <v>18</v>
      </c>
      <c r="J11" s="6" t="s">
        <v>17</v>
      </c>
      <c r="K11" s="19" t="s">
        <v>57</v>
      </c>
      <c r="L11" s="5" t="s">
        <v>133</v>
      </c>
      <c r="M11" s="5" t="s">
        <v>134</v>
      </c>
    </row>
    <row r="12" spans="2:16" ht="71.25" customHeight="1" x14ac:dyDescent="0.25">
      <c r="B12" s="8" t="s">
        <v>58</v>
      </c>
      <c r="C12" s="9">
        <f>DATE(2026,9,8)</f>
        <v>46273</v>
      </c>
      <c r="D12" s="8" t="s">
        <v>59</v>
      </c>
      <c r="E12" s="10" t="s">
        <v>60</v>
      </c>
      <c r="F12" s="10" t="s">
        <v>61</v>
      </c>
      <c r="G12" s="10" t="s">
        <v>62</v>
      </c>
      <c r="H12" s="11" t="s">
        <v>17</v>
      </c>
      <c r="I12" s="11" t="s">
        <v>18</v>
      </c>
      <c r="J12" s="11" t="s">
        <v>17</v>
      </c>
      <c r="K12" s="12" t="s">
        <v>19</v>
      </c>
      <c r="L12" s="10" t="s">
        <v>131</v>
      </c>
      <c r="M12" s="10" t="s">
        <v>135</v>
      </c>
    </row>
    <row r="13" spans="2:16" ht="160.15" customHeight="1" x14ac:dyDescent="0.25">
      <c r="B13" s="8" t="s">
        <v>63</v>
      </c>
      <c r="C13" s="9">
        <f>DATE(2026,9,9)</f>
        <v>46274</v>
      </c>
      <c r="D13" s="8" t="s">
        <v>64</v>
      </c>
      <c r="E13" s="10" t="s">
        <v>65</v>
      </c>
      <c r="F13" s="10" t="s">
        <v>66</v>
      </c>
      <c r="G13" s="10" t="s">
        <v>67</v>
      </c>
      <c r="H13" s="11" t="s">
        <v>17</v>
      </c>
      <c r="I13" s="11" t="s">
        <v>18</v>
      </c>
      <c r="J13" s="11" t="s">
        <v>17</v>
      </c>
      <c r="K13" s="12" t="s">
        <v>19</v>
      </c>
      <c r="L13" s="10" t="s">
        <v>131</v>
      </c>
      <c r="M13" s="10" t="s">
        <v>136</v>
      </c>
    </row>
    <row r="14" spans="2:16" ht="150" customHeight="1" x14ac:dyDescent="0.25">
      <c r="B14" s="7" t="s">
        <v>68</v>
      </c>
      <c r="C14" s="16">
        <f t="shared" ref="C14:C21" si="0">DATE(2026,9,29)</f>
        <v>46294</v>
      </c>
      <c r="D14" s="18" t="s">
        <v>69</v>
      </c>
      <c r="E14" s="17" t="s">
        <v>70</v>
      </c>
      <c r="F14" s="17" t="s">
        <v>71</v>
      </c>
      <c r="G14" s="17" t="s">
        <v>72</v>
      </c>
      <c r="H14" s="17" t="s">
        <v>73</v>
      </c>
      <c r="I14" s="6" t="s">
        <v>74</v>
      </c>
      <c r="J14" s="6" t="s">
        <v>75</v>
      </c>
      <c r="K14" s="12" t="s">
        <v>19</v>
      </c>
      <c r="L14" s="17" t="s">
        <v>137</v>
      </c>
      <c r="M14" s="17" t="s">
        <v>143</v>
      </c>
    </row>
    <row r="15" spans="2:16" ht="299.25" customHeight="1" x14ac:dyDescent="0.25">
      <c r="B15" s="8" t="s">
        <v>76</v>
      </c>
      <c r="C15" s="9">
        <f t="shared" si="0"/>
        <v>46294</v>
      </c>
      <c r="D15" s="8" t="s">
        <v>77</v>
      </c>
      <c r="E15" s="10" t="s">
        <v>78</v>
      </c>
      <c r="F15" s="10" t="s">
        <v>79</v>
      </c>
      <c r="G15" s="10" t="s">
        <v>80</v>
      </c>
      <c r="H15" s="11" t="s">
        <v>17</v>
      </c>
      <c r="I15" s="11" t="s">
        <v>18</v>
      </c>
      <c r="J15" s="11" t="s">
        <v>17</v>
      </c>
      <c r="K15" s="12" t="s">
        <v>20</v>
      </c>
      <c r="L15" s="10" t="s">
        <v>153</v>
      </c>
      <c r="M15" s="10" t="s">
        <v>159</v>
      </c>
    </row>
    <row r="16" spans="2:16" ht="360" customHeight="1" x14ac:dyDescent="0.25">
      <c r="B16" s="7" t="s">
        <v>81</v>
      </c>
      <c r="C16" s="16">
        <f t="shared" si="0"/>
        <v>46294</v>
      </c>
      <c r="D16" s="18" t="s">
        <v>82</v>
      </c>
      <c r="E16" s="15" t="s">
        <v>83</v>
      </c>
      <c r="F16" s="15" t="s">
        <v>84</v>
      </c>
      <c r="G16" s="15" t="s">
        <v>85</v>
      </c>
      <c r="H16" s="6" t="s">
        <v>17</v>
      </c>
      <c r="I16" s="6" t="s">
        <v>18</v>
      </c>
      <c r="J16" s="6" t="s">
        <v>17</v>
      </c>
      <c r="K16" s="12" t="s">
        <v>20</v>
      </c>
      <c r="L16" s="15" t="s">
        <v>144</v>
      </c>
      <c r="M16" s="15" t="s">
        <v>145</v>
      </c>
    </row>
    <row r="17" spans="2:13" ht="72" customHeight="1" x14ac:dyDescent="0.25">
      <c r="B17" s="8" t="s">
        <v>86</v>
      </c>
      <c r="C17" s="9">
        <f t="shared" si="0"/>
        <v>46294</v>
      </c>
      <c r="D17" s="8" t="s">
        <v>87</v>
      </c>
      <c r="E17" s="10" t="s">
        <v>54</v>
      </c>
      <c r="F17" s="10" t="s">
        <v>88</v>
      </c>
      <c r="G17" s="10" t="s">
        <v>89</v>
      </c>
      <c r="H17" s="11" t="s">
        <v>17</v>
      </c>
      <c r="I17" s="11" t="s">
        <v>18</v>
      </c>
      <c r="J17" s="11" t="s">
        <v>17</v>
      </c>
      <c r="K17" s="12" t="s">
        <v>19</v>
      </c>
      <c r="L17" s="10" t="s">
        <v>131</v>
      </c>
      <c r="M17" s="10" t="s">
        <v>155</v>
      </c>
    </row>
    <row r="18" spans="2:13" ht="156.75" customHeight="1" x14ac:dyDescent="0.25">
      <c r="B18" s="8" t="s">
        <v>90</v>
      </c>
      <c r="C18" s="9">
        <f t="shared" si="0"/>
        <v>46294</v>
      </c>
      <c r="D18" s="8" t="s">
        <v>91</v>
      </c>
      <c r="E18" s="10" t="s">
        <v>92</v>
      </c>
      <c r="F18" s="10" t="s">
        <v>93</v>
      </c>
      <c r="G18" s="10" t="s">
        <v>94</v>
      </c>
      <c r="H18" s="11" t="s">
        <v>17</v>
      </c>
      <c r="I18" s="11" t="s">
        <v>95</v>
      </c>
      <c r="J18" s="11" t="s">
        <v>17</v>
      </c>
      <c r="K18" s="12" t="s">
        <v>19</v>
      </c>
      <c r="L18" s="10" t="s">
        <v>131</v>
      </c>
      <c r="M18" s="10" t="s">
        <v>138</v>
      </c>
    </row>
    <row r="19" spans="2:13" ht="72" customHeight="1" x14ac:dyDescent="0.25">
      <c r="B19" s="8" t="s">
        <v>96</v>
      </c>
      <c r="C19" s="9">
        <f t="shared" si="0"/>
        <v>46294</v>
      </c>
      <c r="D19" s="8" t="s">
        <v>97</v>
      </c>
      <c r="E19" s="10" t="s">
        <v>98</v>
      </c>
      <c r="F19" s="10" t="s">
        <v>99</v>
      </c>
      <c r="G19" s="10" t="s">
        <v>100</v>
      </c>
      <c r="H19" s="11" t="s">
        <v>17</v>
      </c>
      <c r="I19" s="11" t="s">
        <v>101</v>
      </c>
      <c r="J19" s="11" t="s">
        <v>17</v>
      </c>
      <c r="K19" s="12" t="s">
        <v>19</v>
      </c>
      <c r="L19" s="10" t="s">
        <v>146</v>
      </c>
      <c r="M19" s="10" t="s">
        <v>152</v>
      </c>
    </row>
    <row r="20" spans="2:13" ht="72" customHeight="1" x14ac:dyDescent="0.25">
      <c r="B20" s="8" t="s">
        <v>102</v>
      </c>
      <c r="C20" s="9">
        <f t="shared" si="0"/>
        <v>46294</v>
      </c>
      <c r="D20" s="8" t="s">
        <v>103</v>
      </c>
      <c r="E20" s="10" t="s">
        <v>104</v>
      </c>
      <c r="F20" s="10" t="s">
        <v>105</v>
      </c>
      <c r="G20" s="10" t="s">
        <v>106</v>
      </c>
      <c r="H20" s="11" t="s">
        <v>17</v>
      </c>
      <c r="I20" s="11" t="s">
        <v>101</v>
      </c>
      <c r="J20" s="11" t="s">
        <v>17</v>
      </c>
      <c r="K20" s="12" t="s">
        <v>19</v>
      </c>
      <c r="L20" s="10" t="s">
        <v>147</v>
      </c>
      <c r="M20" s="10" t="s">
        <v>150</v>
      </c>
    </row>
    <row r="21" spans="2:13" ht="72" customHeight="1" x14ac:dyDescent="0.25">
      <c r="B21" s="8" t="s">
        <v>107</v>
      </c>
      <c r="C21" s="9">
        <f t="shared" si="0"/>
        <v>46294</v>
      </c>
      <c r="D21" s="8" t="s">
        <v>108</v>
      </c>
      <c r="E21" s="10" t="s">
        <v>109</v>
      </c>
      <c r="F21" s="10" t="s">
        <v>110</v>
      </c>
      <c r="G21" s="10" t="s">
        <v>111</v>
      </c>
      <c r="H21" s="11" t="s">
        <v>17</v>
      </c>
      <c r="I21" s="11" t="s">
        <v>101</v>
      </c>
      <c r="J21" s="11" t="s">
        <v>17</v>
      </c>
      <c r="K21" s="12" t="s">
        <v>19</v>
      </c>
      <c r="L21" s="10" t="s">
        <v>148</v>
      </c>
      <c r="M21" s="10" t="s">
        <v>149</v>
      </c>
    </row>
    <row r="22" spans="2:13" ht="72" customHeight="1" x14ac:dyDescent="0.25">
      <c r="B22" s="8" t="s">
        <v>112</v>
      </c>
      <c r="C22" s="9">
        <f>DATE(2026,10,11)</f>
        <v>46306</v>
      </c>
      <c r="D22" s="8" t="s">
        <v>113</v>
      </c>
      <c r="E22" s="10" t="s">
        <v>114</v>
      </c>
      <c r="F22" s="10" t="s">
        <v>115</v>
      </c>
      <c r="G22" s="10" t="s">
        <v>116</v>
      </c>
      <c r="H22" s="11" t="s">
        <v>117</v>
      </c>
      <c r="I22" s="11" t="s">
        <v>18</v>
      </c>
      <c r="J22" s="11" t="s">
        <v>17</v>
      </c>
      <c r="K22" s="12" t="s">
        <v>19</v>
      </c>
      <c r="L22" s="10" t="s">
        <v>139</v>
      </c>
      <c r="M22" s="10" t="s">
        <v>156</v>
      </c>
    </row>
    <row r="23" spans="2:13" ht="268.7" customHeight="1" x14ac:dyDescent="0.25">
      <c r="B23" s="8" t="s">
        <v>118</v>
      </c>
      <c r="C23" s="9">
        <f>DATE(2026,10,12)</f>
        <v>46307</v>
      </c>
      <c r="D23" s="8" t="s">
        <v>119</v>
      </c>
      <c r="E23" s="10" t="s">
        <v>120</v>
      </c>
      <c r="F23" s="10" t="s">
        <v>121</v>
      </c>
      <c r="G23" s="10" t="s">
        <v>122</v>
      </c>
      <c r="H23" s="11" t="s">
        <v>123</v>
      </c>
      <c r="I23" s="11" t="s">
        <v>18</v>
      </c>
      <c r="J23" s="11" t="s">
        <v>17</v>
      </c>
      <c r="K23" s="12" t="s">
        <v>19</v>
      </c>
      <c r="L23" s="10" t="s">
        <v>131</v>
      </c>
      <c r="M23" s="10" t="s">
        <v>157</v>
      </c>
    </row>
  </sheetData>
  <mergeCells count="7">
    <mergeCell ref="N8:O8"/>
    <mergeCell ref="B1:K1"/>
    <mergeCell ref="N4:P4"/>
    <mergeCell ref="N7:O7"/>
    <mergeCell ref="N6:O6"/>
    <mergeCell ref="B2:K2"/>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Robert Roelof Van Der Merwe</cp:lastModifiedBy>
  <dcterms:created xsi:type="dcterms:W3CDTF">2026-09-08T21:28:48Z</dcterms:created>
  <dcterms:modified xsi:type="dcterms:W3CDTF">2026-10-18T14:37:49Z</dcterms:modified>
</cp:coreProperties>
</file>