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s\SEN381\Repo\Ticketing-System\docs\decisions\Decision Log\"/>
    </mc:Choice>
  </mc:AlternateContent>
  <xr:revisionPtr revIDLastSave="0" documentId="13_ncr:1_{0EAE6CE6-3AEF-4A84-B50F-33F6FB151391}" xr6:coauthVersionLast="47" xr6:coauthVersionMax="47" xr10:uidLastSave="{00000000-0000-0000-0000-000000000000}"/>
  <bookViews>
    <workbookView xWindow="-120" yWindow="-120" windowWidth="29040" windowHeight="15720" xr2:uid="{00000000-000D-0000-FFFF-FFFF00000000}"/>
  </bookViews>
  <sheets>
    <sheet name="Decision Lo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C11" i="1"/>
  <c r="C10" i="1"/>
  <c r="C9" i="1"/>
  <c r="C8" i="1"/>
  <c r="P7" i="1"/>
  <c r="C7" i="1"/>
  <c r="P6" i="1"/>
  <c r="C6" i="1"/>
  <c r="P5" i="1"/>
  <c r="P8" i="1" s="1"/>
  <c r="C5" i="1"/>
</calcChain>
</file>

<file path=xl/sharedStrings.xml><?xml version="1.0" encoding="utf-8"?>
<sst xmlns="http://schemas.openxmlformats.org/spreadsheetml/2006/main" count="228" uniqueCount="160">
  <si>
    <t>Decision Log</t>
  </si>
  <si>
    <t>ID</t>
  </si>
  <si>
    <t>Date</t>
  </si>
  <si>
    <t>Decision or deferment</t>
  </si>
  <si>
    <t>Alternatives considered</t>
  </si>
  <si>
    <t>Rationale</t>
  </si>
  <si>
    <t>Consequences / downstream impact</t>
  </si>
  <si>
    <t>Evidence still required (if deferred)</t>
  </si>
  <si>
    <t>Owner</t>
  </si>
  <si>
    <t>Preserved from v1.0</t>
  </si>
  <si>
    <t>Status</t>
  </si>
  <si>
    <t>Decision 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</si>
  <si>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</si>
  <si>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</si>
  <si>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</si>
  <si>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</si>
  <si>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</si>
  <si>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</si>
  <si>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Ethan</t>
  </si>
  <si>
    <t>DECIDED</t>
  </si>
  <si>
    <t>Decided</t>
  </si>
  <si>
    <t>DEC-002</t>
  </si>
  <si>
    <t>Adopt a MERN stack: MongoDB, Express, React and Node.js, with MongoDB Atlas as the managed database service</t>
  </si>
  <si>
    <t>Database decision such as Postgres and MySQL which would change the backend platform. Compared in full in the DEC-002 ADR (PostgreSQL and MySQL variants of the same Node/Express/React stack).</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</si>
  <si>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 Full record, including the weighted comparison matrix required by M2 brief §5.5 (MERN 74.0, PostgreSQL 72.0, MySQL 68.0; sensitivity recorded; weights pending owner review): docs/decisions/ADR/DEC-002_Technology_Stack_v0.1.md</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</si>
  <si>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</si>
  <si>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</si>
  <si>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Deferred</t>
  </si>
  <si>
    <t>DEC-003</t>
  </si>
  <si>
    <t>Host the application on an Azure virtual machine (Azure for Students, Spain Central, Standard_B2ls_v2), for staging only, with MongoDB Atlas as the managed database service: the staging cluster is an M0 on Azure westeurope (Netherlands). The production host is not yet decided (DEC-003 v0.4). Until v0.9 this row read: "Adopt Hostinger as the application hosting and deployment platform, with MongoDB Atlas as the managed database service". No Hostinger server existed (OI-21), so DEC-003 v0.4 replaced it.</t>
  </si>
  <si>
    <t>Vercel, However Hostinger offers more flexibility and customization  given we have access to the server. v0.9: the Hostinger KVM VPS chosen at M2 is now itself an alternative. It was never provisioned: "given we have access to the server" did not hold, as no such server existed (OI-21).</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</si>
  <si>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</si>
  <si>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 v0.9 (DEC-003 v0.4, 15/10/2026): the staging VM is in Spain Central, forced by the student subscription’s allowed-regions policy, and the staging cluster is in Azure westeurope, the nearest region with the free tier, so the two are not colocated; every performance result states both regions. Staging and production no longer share a host, and production’s host is undecided. The VM is paid from E. Lindsay’s student credit, which covers about 2.9 months of continuous running (to early January 2027); beyond it the list price is $34.97 a month.</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</si>
  <si>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</si>
  <si>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Superseded</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</si>
  <si>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</si>
  <si>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</si>
  <si>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</si>
  <si>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</si>
  <si>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</si>
  <si>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Total logged</t>
  </si>
  <si>
    <t>DEC-005</t>
  </si>
  <si>
    <t>Retain identifiable personal information for one month, with aggregated statistics retained beyond that period</t>
  </si>
  <si>
    <t>Retain indefinitely; adopt a longer fixed period; continue deferring pending STK-009 guidance</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</si>
  <si>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</si>
  <si>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</si>
  <si>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</si>
  <si>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</si>
  <si>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</si>
  <si>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</si>
  <si>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</si>
  <si>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</si>
  <si>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</si>
  <si>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</si>
  <si>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</si>
  <si>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</si>
  <si>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</si>
  <si>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SUPERSEDED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</si>
  <si>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</si>
  <si>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</si>
  <si>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</si>
  <si>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</si>
  <si>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</si>
  <si>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</si>
  <si>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</si>
  <si>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</si>
  <si>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</si>
  <si>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</si>
  <si>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DEC-010</t>
  </si>
  <si>
    <t>Retain the free Atlas cluster (M0), one per environment, including production; meet the NFR-1.5 recovery point through an encrypted mongodump every 12 hours to a secure institutional server, with 7-day archive retention and a weekly restore test</t>
  </si>
  <si>
    <t>Remain on a free M0 cluster and meet the recovery point through scheduled mongodump; adopt the lowest paid tier that provides managed backup; amend NFR-1.5 through controlled change to state a recovery point the selected tier can evidence</t>
  </si>
  <si>
    <t>Closed at M2 by R. van der Merwe. Amending NFR-1.5 was rejected: 24 hours is already modest. The lowest paid tier buys a platform capability at recurring cost (CON-003) when storage (~44 MB per 10 000 requests vs 0.5 GB) and throughput arithmetic show the free cluster is sufficient at M2-M4 scale. MongoDB's free-cluster documentation names mongodump/mongorestore as the alternative to backups. A 12-hour cadence is chosen over 24 hours because a single failed 24-hour run would already breach NFR-1.5; at 12 hours one missed run still stays within 24 hours. Full record: docs/decisions/ADR/DEC-010_Backup_and_Recovery_v0.1.md</t>
  </si>
  <si>
    <t>NFR-1.5 becomes an operated control rather than a platform capability (CON-004 effort: script, schedule, weekly check). --oplog is unsupported on free clusters, so a dump is not point-in-time across collections; restore runs a consistency check and rebuilds reportingCounts. Archives hold personal data: 7-day retention, encrypted, and PROC-001 re-run after any restore (DEC-017). Re-opens automatically if the M3 load test exceeds 70% of 100 ops/s, storage exceeds 60% of 0.5 GB, two consecutive dumps fail, the institutional server is unavailable &gt;72 h, or the system enters real production use. Raises RSK-019 and RSK-020. Scripts: scripts/backup/.</t>
  </si>
  <si>
    <t>E1: BC IT confirmation of the institutional server (encrypted storage, scheduler, outbound 27017), due before the M2 presentation. E2: first restore-test log (M3). E3: cost of the lowest paid tier with managed backup (M3).</t>
  </si>
  <si>
    <t>Robert (closure); Ethan (deferment)</t>
  </si>
  <si>
    <t>Deferred at M2 (29/09/2026, E. Lindsay): Defer selection of the Atlas cluster tier, and of the mechanism by which the NFR-1.5 recovery point is met Evidence required at deferment: Cost of the lowest Atlas tier providing managed backup; whether a scheduled dump can meet a 24-hour recovery point within the capacity available under CON-004; STK-008's position on incurring the cost</t>
  </si>
  <si>
    <t>DEC-011</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</si>
  <si>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</si>
  <si>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</si>
  <si>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</si>
  <si>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</si>
  <si>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DEC-012</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</si>
  <si>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</si>
  <si>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</si>
  <si>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</si>
  <si>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</si>
  <si>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</si>
  <si>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</si>
  <si>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</si>
  <si>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</si>
  <si>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DEC-014</t>
  </si>
  <si>
    <t>Adopt a closed, layered modular monolith: three layers (presentation, application, data access) with downward single-boundary dependencies, divided into seven business-capability modules derived from the FR feature groups; lifecycle rules held as a framework-independent module inside the application layer; audit writes placed in the data store through database triggers.</t>
  </si>
  <si>
    <t>Layered monolith organised by technical layer only; open or selectively open layering with a direct read path for reporting; service-based or microservices deployment.</t>
  </si>
  <si>
    <t>CON-012 fixes the layered style and NFR-1.7 makes it testable, so the decision concerns boundaries and dependencies rather than style. The closed path protects ASR-01 (consistent authorisation) and ASR-02 (lifecycle integrity and audit). Business modules reduce collision between three part-time members (ASR-05, CON-004). One deployable unit fits CON-003 and CON-004 (ASR-06). Selectively open layering was rejected because NFR-1.7 forbids skipping a layer and a bypassed read path would skip the DEC-012 checks; the reporting performance need is met by the DEC-011 projection instead. Microservices were rejected: no requirement needs independent scaling or deployment, and distribution would split the single-transaction transition required by CON-017. Full record in PED §6A.8.</t>
  </si>
  <si>
    <t>Pass-through code on simple reads (architecture sinkhole) accepted. No separate domain layer, so lifecycle rules depend on discipline to stay framework-free. One application instance is a single point of failure (RSK-017). Layer and module erosion under schedule pressure tracked as RSK-016. Repository structure must mirror the modules and layers (issue #51); the dependency rule is to be checked in CI (issue #52). A second application instance can be added without redesign because the application tier is stateless (ASR-04).</t>
  </si>
  <si>
    <t>Christiaan</t>
  </si>
  <si>
    <t>DEC-015</t>
  </si>
  <si>
    <t>API semantics for the browser-to-backend boundary: REST/JSON over HTTPS under /api/v1; a status transition is a POST to a /transitions sub-resource; ETag/If-Match optimistic concurrency on state-changing sub-resources; Idempotency-Key required on state-changing POSTs; RFC 9457 problem-details errors</t>
  </si>
  <si>
    <t>PATCH of a status field (as implemented in the slice); GraphQL; last-write-wins without ETag; a separate idempotencyKeys collection with 24 h TTL; server-side de-duplication by body hash</t>
  </si>
  <si>
    <t>Assignment 2 s.4.1 identified the real risk as semantic: a timed-out transition that is retried writes a second immutable history entry (FR-6.7). A2 s.4.6 recommended REST, ETag/If-Match and an idempotency key; DEC-015 adopts that and adds what the research left unspecified: key storage on the requestHistory entry it guards (atomic with the change, unique {actorId, idempotencyKey}), fingerprint-based 422 on payload mismatch, and the status-code map (400/401/403/404/409/412/422/428). Search text travels in a POST body because URIs are logged (RFC 9110 s.17.9, CON-007). Idempotency-Key per IETF draft-ietf-httpapi-idempotency-key-header-07. Full record: docs/decisions/ADR/DEC-015_API_Semantics_v0.1.md</t>
  </si>
  <si>
    <t>The router changes from PATCH /:id/status to POST /api/v1/requests/:id/transitions (review comment R-03). The front end must persist the key across retries and send If-Match; a 412 needs UI treatment. NFR-3.3's 'every entry point' becomes a finite endpoint table. Additive-only change within v1; breaking change means /api/v2 via Master Brief s.14. Contract to be held as docs/api/openapi.yaml. Affects FR-2.1, FR-2.6, FR-3.x, FR-4.3, FR-4.4, FR-5.x, FR-6.x, FR-7.x, NFR-1.6, NFR-3.3, CON-007.</t>
  </si>
  <si>
    <t>Robert</t>
  </si>
  <si>
    <t>DEC-016</t>
  </si>
  <si>
    <t>The multi-document transaction encloses the requests update (including assignment, resolution and closure fields and the version increment) and the requestHistory insert; auditLog is written after commit by the Atlas trigger and is eventually consistent (target &lt;= 60 s); DEC-011 consequences are published after commit</t>
  </si>
  <si>
    <t>Keep AC-NFR-1.10 as written with an application-written audit row; trigger writes requestHistory too; no transaction with compensation; embed history in the request document; pessimistic locking</t>
  </si>
  <si>
    <t>AC-NFR-1.10 assumed SQL trigger semantics. MongoDB documents that Atlas Database Triggers run from change streams on a separate compute layer, after commit, so the audit write cannot be inside the transaction. Assignment 2 s.3.2 reasoned from SQL; the M2 decision keeps its intent (audit below the application, unbypassable) and drops its mechanism. The implemented slice has no transaction at all (review comment R-15). Optimistic concurrency by a version field, backed by a unique {requestId, requestVersion} index. Full record: docs/decisions/ADR/DEC-016_Transaction_Boundary_v0.1.md</t>
  </si>
  <si>
    <t>Aborted transactions emit no change events, so audit correctness is kept and only timeliness is traded. New failure mode: trigger suspended beyond the oplog window (RSK-018). StatusTransitionService gains an injected unit-of-work port; publication moves outside withTransaction. Requires CR-001 (AC-NFR-1.10 v0.3). Affects NFR-1.10, CON-017, CON-015, NFR-1.9, FR-6.3, FR-6.7, FR-5.4, DEC-011, DEC-015.</t>
  </si>
  <si>
    <t>DEC-017</t>
  </si>
  <si>
    <t>Set retention per processing purpose: personal fields of request data no longer than 30 days from closure (purpose A); auditLog at least 90 days as a separate accountability purpose, with content minimised to identifiers, field names and status values (purpose B); backups 7 days (C); performance logs 30 days (D); non-identifying aggregates indefinitely</t>
  </si>
  <si>
    <t>Reduce NFR-1.4 to 30 days; extend DEC-005 to 90 days for all data; keep both figures with full-document audit; pseudonymise audit actor ids with a keyed hash</t>
  </si>
  <si>
    <t>Resolves OI-06. NFR-1.4 (90 days) and DEC-005 (one month) contradict only if the audit log holds purpose-A personal data. POPIA constrains the maximum retention period and does not mandate a minimum; s.14(1) permits retention for a lawful purpose related to the organisation's functions, which the accountability purpose is. The trigger runs with full_document:false and copies field names, never values (minimisation rule M-1). Full record: docs/decisions/ADR/DEC-017_Retention_Purposes_v0.1.md</t>
  </si>
  <si>
    <t>OI-06 closed. Neither figure changes; measurement bases of NFR-1.4, NFR-1.9 and NFR-4.2 amended and AC-NFR-4.2 v0.3 written (CR-002). Staff actor ids survive 90 days in auditLog and are nulled from requestHistory at anonymisation. Enforcement of purpose A is by PROC-001 (SCP-020 remains deferred); this raises OI-13 (FR-6.7 vs anonymisation, CR-003). OI-12 remains open: 30 days is a team position, not STK-009-validated.</t>
  </si>
  <si>
    <t>DEC-018</t>
  </si>
  <si>
    <t>Authenticate with local email-and-password accounts and an opaque server-side session. Passwords hashed with scrypt (N=2^15, r=8, p=3, maxmem 64 MiB) in a self-describing string. 32-byte session identifier, only its SHA-256 stored, in a `sessions` collection; cookie __Host-sid (HttpOnly, Secure, SameSite=Lax). New identifier on every login. Idle expiry: refused 30 min after lastSeenAt, refreshed at most once per 60 s (expires 29–30 min after the last request, never valid after 30). No absolute lifetime. Session middleware only resolves req.actor; only the guard returns 401/403. POST /api/v1/sessions, DELETE /api/v1/sessions/current (public, idempotent), GET /api/v1/health. Auth events to auditLog (origin 'auth', M-1). First Administrator by an interactive script; no HTTP bootstrap, no default credential</t>
  </si>
  <si>
    <t>Campus single sign-on; stateless JWT; express-session with connect-mongo; argon2id; bcrypt; middleware that returns 401 itself; an absolute session lifetime; login throttling or lockout</t>
  </si>
  <si>
    <t>Closes the forward item in DEC-015 §5. SSO conflicts with NFR-1.3/SCP-016 and depends on the institution (CON-008). JWT cannot meet AC-FR-1.4 'existing sessions are terminated' without a server-side deny-list. scrypt is built into Node, so no native dependency (CON-003, CON-008), and is an OWASP-listed alternative. An own repository makes the FR-1.4 epoch check and the NFR-3.4 idle check explicit code that can be negative-verified. No absolute lifetime and no throttling threshold, because the record states neither and choosing one would invent a value. Full record: docs/decisions/ADR/DEC-018_Authentication_and_Sessions_v0.1.md</t>
  </si>
  <si>
    <t>DB-01 v0.3 adds `sessions` (§3.9) and corrects the passwordHash annotation. DEC-003 v0.2 adds CRUD on `sessions` to the civicconnect-app role, with the requestHistory/auditLog grants unchanged. AC-FR-1.4 and AC-NFR-1.4 only partly met in M3 Phase 0. RSK-021 raised (no throttling). TD-002 records the unimplemented FR-1.6 union. Hash timing measured on a development machine only: median 293 ms (Node 22.20.0, i7-1360P)</t>
  </si>
  <si>
    <t>VPS hash timing (DEC-018 evidence item 1); smoke check against the test cluster; Atlas role verification when DB-01 layer 3 is built</t>
  </si>
  <si>
    <t>DEC-019</t>
  </si>
  <si>
    <t>Build the React client with Vite, as its own package (client/, own lockfile), into static files in client/dist that Nginx serves (DEC-015 §5); locally vite preview stands in for Nginx and proxies /api to 127.0.0.1. Run the end-to-end cases with Playwright (@playwright/test), Chromium only, in its own e2e/ package, retries 0, starting the real src/server.js and a fresh client build for every run. E2E-2's 403 assertion is marked as an expected failure citing DEF-011, never edited. E2E runs locally against the test cluster and on staging, not in CI; the recorded local run is evidence and the condition for #89 leaving draft. The blocking gate is tests/clientBoundary.test.js in npm test (no imports from src/, imports shared/domainValues.js, no status or role literals)</t>
  </si>
  <si>
    <t>Create React App; a hand-written webpack configuration; Next.js or another server-rendering framework; Cypress; Selenium / WebDriver; no browser (node:test and fetch only)</t>
  </si>
  <si>
    <t>DEC-002 fixes React but not how it is built or tested end to end. DEC-015 §5 needs a static build with no rendering server, so not Next.js; Create React App is no longer maintained. A real browser is needed for the __Host-sid cookie (DEC-018 §3) and the in-place prompt (AC-FR-1.1), and to observe that the client sent a request instead of validating it (TD-003). Playwright's built-in expected-failure annotation records DEF-011 without weakening the 403 assertion, and its webServer setting starts the API and the client build for each run. Free tools (CON-003), and the client's dev tooling stays out of the root package and the VPS install. Full record: docs/decisions/ADR/DEC-019_Client_Build_and_E2E_Tooling_v0.1.md</t>
  </si>
  <si>
    <t>DEC-003's deploy procedure has no client build step: a procedure gap for R. van der Merwe at staging time, closed by a new DEC-003 version. eslint.config.js has a client/src block (browser globals, JSX, react/jsx-uses-vars), added on #89. CI does not build the client. NFR-1.1 browser coverage not claimed (Chromium only). The E2E specs reuse PR #88's fixture harness (tests/integration/_harness.js); #88 merged on 12/10/2026</t>
  </si>
  <si>
    <t>Playwright pinned at @playwright/test 1.64.0 (exact, e2e/package.json; Chromium build 1248). Recorded local E2E run: docs/evidence/M3-e2e/E2E_local_run_2026-10-12.txt (12/10/2026, 21:27 UTC, test cluster, exit code 0): E2E-1 and E2E-2a pass, E2E-2b an expected failure with its 422 quoted. Still required: the client build step in DEC-003 before the staging run.</t>
  </si>
  <si>
    <t>Final status (M4)</t>
  </si>
  <si>
    <t>Observed consequence (M4)</t>
  </si>
  <si>
    <t>Held to the end</t>
  </si>
  <si>
    <t>The campus context held: no stakeholder or requirement was reopened because of it. POPIA (CON-007) applied throughout, which is why staging holds synthetic data only and production cannot inherit the staging regions (DEC-003 v0.5).</t>
  </si>
  <si>
    <t>Held; built as decided</t>
  </si>
  <si>
    <t>The product is Node.js and Express with a React client (DEC-019) on MongoDB Atlas. The M2 consequences materialised. Multi-document transactions on an M0 replica set carry the status transition (DEC-016): the transaction case passed on the test cluster at M3, and on a throwaway replica set in CI (PR #122). The second provider and the free tier's lack of backups stayed open (DEC-010). The free tier was not available in the student VM's region, so staging is not colocated (DEC-003 v0.5).</t>
  </si>
  <si>
    <t>Revised (DEC-003 v0.5): staging decided and built; production host undecided</t>
  </si>
  <si>
    <t>Held</t>
  </si>
  <si>
    <t>Held as a team position; never validated by STK-009</t>
  </si>
  <si>
    <t>Superseded by DEC-013 (unchanged)</t>
  </si>
  <si>
    <t>No further consequence. See DEC-013.</t>
  </si>
  <si>
    <t>Every change reached dev and main by a reviewed pull request with two approvals and a merge commit; the .gitleaksignore fingerprints depend on the merge commits. The cost recorded at M1 materialised: approvals were the schedule constraint at every milestone, and the M4 plan is built around four Sunday review windows. One gap was found and closed. PR #88 merged with commits pushed after both approvals, so the approval-of-most-recent-push rule was enabled on 13/10/2026 (PED M3.4.1).</t>
  </si>
  <si>
    <t>The client instructions of 09/09/2026 became STK-010 and CON-009 to CON-019, each traceable to that capture (PED version 0.3) rather than to memory.</t>
  </si>
  <si>
    <t>Not put into operation; NFR-1.5 not evidenced</t>
  </si>
  <si>
    <t>The layer rule is enforced: CI fails a merge when a route or middleware file imports a model or repository, as GATE-01 showed (run 38357191208, 13/10/2026). The check covers src/routes and src/middleware only. One application instance remains a single point of failure (RSK-017).</t>
  </si>
  <si>
    <t>Held; login throttling deliberately absent</t>
  </si>
  <si>
    <t>The one-month period stands, but it was never confirmed with the information officer (OI-12 stays open). It is enforced only by running PROC-001 by hand (scripts/retention/proc-001-anonymise.js); automated enforcement (SCP-020) stayed deferred. Its conflict with FR-6.7 was settled by CR-003, approved by the team on 17/10/2026 (not validated with a client stakeholder), which closes OI-13.</t>
  </si>
  <si>
    <t>Held; exercised at M4 and met</t>
  </si>
  <si>
    <t>Request submission was not built through M3, so the decision was not exercised until M4. At M4 the submission form and API require exactly category, location and description: AC-FR-2.2a and AC-FR-2.2b are Met at the frozen build 6408ab7 (E2E-3; a missing field returns 400 and nothing is stored; RTM v0.11).</t>
  </si>
  <si>
    <t>The backup and restore scripts exist (scripts/backup/), but the institutional server (E1) was never confirmed, so no dump or restore test has run in any environment. The free tier held under the M3 load: NFR-2.4 passed on staging at 11.04 requests/s. The 70 % of 100 ops/s trigger was not measured (RSK-019). Real production use is one of its own re-open conditions, so it must be re-decided before production. M4 (18/10/2026): the trigger was reached. The NFR-2.4 run on staging at v4.0-M4-rc took Atlas to about 74 ops/s, over 70 % of 100 ops/s, so DEC-010's own re-open condition is met (M4 staging deploy record).</t>
  </si>
  <si>
    <t>Partly built: points 1 and 2; point 3 not built at v4.0-M4-rc</t>
  </si>
  <si>
    <t>The route guard (point 1) and the object-level checks (point 2) are built and tested, and an unguarded route fails CI. Point 3, the field-level serialiser, was not built because CFL-002 / OI-16 was never confirmed with STK-006. In its place, the whole read of a security-category request is refused to staff who are not Security Officers, which is stricter than FR-1.5 (OI-17). Unchanged at v4.0-M4-rc: AC-FR-1.5 is Partially Met (RTM v0.11). DEF-024 (S1: a per-viewer response reused from the browser cache after a user switch) was this risk materialising in the client; it was fixed with Cache-Control: no-store and is covered by E2E-10.</t>
  </si>
  <si>
    <t>Held; the five differences fixed at M4 (DEF-007 to DEF-011)</t>
  </si>
  <si>
    <t>Held; verified; submission contention found at M4</t>
  </si>
  <si>
    <t>Held; enforcement manual; CR-003 approved</t>
  </si>
  <si>
    <t>Retention per purpose stands, and OI-06 stays closed. Purpose A is enforced only by running PROC-001 by hand; SCP-020 stays deferred. The FR-6.7 conflict it exposed (OI-13) was settled by CR-003, approved by the team on 17/10/2026 and not validated with a client stakeholder. Functional Requirements v0.3 holds the FR-6.7 basis, and OI-13 is closed (Open Items v0.8).</t>
  </si>
  <si>
    <t>The transaction-boundary case passes: a failure after both writes and before commit persists neither and publishes nothing, on the test cluster at M3 and in CI (PR #122). The unique index behind its concurrency rule, (requestId, requestVersion), was absent on the test cluster until TD-004's provisioning closed DEF-015 (14 and 15/10/2026). CR-001 (AC-NFR-1.10 v0.3) was approved by the team on 17/10/2026 (not validated with a client stakeholder). The case shows the clauses that do not depend on the Atlas trigger; the trigger is not deployed, so the two auditLog clauses are not shown. M4 consequence: the FR-2.6 sequential reference is taken by incrementing one counter document inside the same create transaction (counterRepository.js, unitOfWork.js). Under 100 simultaneous submissions on staging (NFR-2.1, 18/10/2026) the transactions write-conflicted on that document (WriteConflict, code 112), and the driver re-ran them for up to 120 s. 30 of 100 were not saved, and 43 were saved after the client had gone. NFR-2.4 failed the same way (17 of 450 submissions timed out at the client, all saved). The proposed fix takes the number with an atomic $inc before the transaction (FR-2.6 needs unique and immutable, not gap-free). Recorded as DEF-032 (S1, P2).</t>
  </si>
  <si>
    <t>v0.1 to v0.3 rested on a VPS that never existed (OI-21), found only when someone was asked to deploy, and staging moved to a disposable Azure VM (v0.4). The first staging deploy (15/10/2026) found two configuration faults that the health check could not see: a URI without the database name (DEF-020) and the client not served (DEF-021). v0.5 does four things. It records the hand deploy. It moves the Nginx and systemd files into the repository (PR #133). It accepts non-colocation and the self-signed certificate for staging. It leaves production without a host, so no production release is possible under it. Since 18/10/2026 12:15 UTC staging serves https://civicconnect.co.za with a Let's Encrypt certificate; the release-candidate checks ran on the self-signed certificate before it (DEC-003 v0.5, Edge row).</t>
  </si>
  <si>
    <t>The integration cases were written to DEC-015 before the code and found five differences inherited from the M2 slice: DEF-007 to DEF-011, 15 of 40 checks failing at M3. The same 15 fail in CI on a throwaway replica set (PR #122). The client sends a fresh key for every transition, so DEF-009 does not reach it. All five were fixed in PR #136 (804138f, e973a9d): the integration cases pass 40 of 40 at the frozen build 6408ab7 and in CI on dev (run 39079571516). The routes DEC-015 v0.1 did not list were settled before they were built (DEC-015 Addendum A, 17/10/2026). E2E passed 56 of 56 in four browsers at 6408ab7, and the four-role walkthrough on staging at v4.0-M4-rc (CC-2026-000521, 18/10/2026) matched every step. The CI integration job has been a required check on dev since 18/10/2026 (TD-008 repaid).</t>
  </si>
  <si>
    <t>Held; the notification subscriber is registered, the reportingCounts projection is not (TD-001 partly repaid)</t>
  </si>
  <si>
    <t>The transition service publishes after commit, and the history entry is written inside the transaction, not by a subscriber. At M4 the notification subscriber is registered (src/composition.js, registerSubscribers), so each status change creates an in-application notification for the requester (FR-3.4, Met at the frozen build 6408ab7). The reportingCounts projection is not registered (TD-001 partly repaid): the management view built at M4 counts from requests directly (FR-8.1 to FR-8.6 Met), so the projection and its recovery path (OI-14) are unused. SCP-014 was not admitted.</t>
  </si>
  <si>
    <t>Authorisation was designed in, not retrofitted. The route guard is composed once, and a route-table test fails the build if a non-public route lacks it (NFR-3.3). The integration tests caught the wrong-role status (DEF-011), which was fixed in PR #136: a role not permitted for a transition now gets 403 (integration 40 of 40 at 6408ab7). The field-level part, DEC-012 point 3, was not built (OI-16).</t>
  </si>
  <si>
    <t>The client is responsive web only. Browser coverage (NFR-1.1) is Partially Met: at M4 the E2E journeys ran 56 of 56 in four browser projects (Chromium, Chrome, Edge and Playwright's Firefox) at 6408ab7, but prior browser releases and Mozilla's release Firefox are not shown (RTM v0.11), and the BC browser set was never confirmed (OI-07).</t>
  </si>
  <si>
    <t>Local accounts, scrypt hashing and server-side sessions are built and tested. A test asserts the session cookie's security attributes; it failed intermittently twice, cause unknown (DEF-013). Login has no throttling: CodeQL alert #1 (missing rate limiting) has been open since PR #83, and RSK-021 is accepted, not mitigated. This blocks production use. Under the NFR-2.4 load on staging, login took 430 ms at p50 at M3 (15/10/2026) and 432 ms at M4 (v4.0-M4-rc, 18/10/2026), including the South Africa to Spain round trip.</t>
  </si>
  <si>
    <t>The Vite build and Playwright E2E were used as decided. At the M3 tag E2E-1 and E2E-2a pass, and E2E-2b is an expected failure on DEF-011. It exposed the missing client build step in DEC-003, which was added at v0.3. On staging the client was then built but not served until 15/10/2026 (DEF-021). It was not run on staging at M3. At M4, DEF-011 was fixed and E2E-2b's expected-failure mark removed (PR #136), and E2E ran 56 of 56 in four browsers at 6408ab7. E2E still does not run in CI.</t>
  </si>
  <si>
    <t>Decisions and deferments taken during M1, M2 and M3, the alternatives weighed, and what each one commits or blocks downstream | Version 0.10 (17/10/2026, R. van der Merwe): columns L (Final status, M4) and M (Observed consequence, M4) added for every decision. Columns B to K are unchanged, so each decision reads as it was taken. The cells that waited on the release candidate (DEC-006, DEC-012, DEC-015, DEC-017) were completed on 18/10/2026 from the v4.0-M4-rc evidence, and the DEC-005, DEC-010, DEC-016 and DEC-017 consequences were brought up to date with the CR approvals of 17/10/2026 and the staging runs of 18/10/2026. DEC-016 cites DEF-032; DEC-003 records the staging domain and certificate of 18/10/2026; DEC-015 records the integration job as a required check. After review (18/10/2026): DEC-011 (L15, M15) records the registered notification subscriber, and DEC-004, DEC-013, DEC-018 and DEC-019 (M8, M17, M22, M23) record the M4 fixes and four-browser E2E runs.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</si>
</sst>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9">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1" fillId="4" borderId="1" xfId="0" applyFont="1" applyFill="1" applyBorder="1" applyAlignment="1">
      <alignment horizontal="left" vertical="center" indent="1"/>
    </xf>
    <xf numFmtId="0" fontId="0" fillId="0" borderId="2" xfId="0" applyBorder="1"/>
    <xf numFmtId="0" fontId="2" fillId="0" borderId="0" xfId="0" applyFont="1" applyAlignment="1">
      <alignment vertical="center"/>
    </xf>
    <xf numFmtId="0" fontId="0" fillId="0" borderId="0" xfId="0"/>
    <xf numFmtId="0" fontId="7" fillId="0" borderId="1" xfId="0" applyFont="1" applyBorder="1" applyAlignment="1">
      <alignment horizontal="center" vertical="center"/>
    </xf>
    <xf numFmtId="0" fontId="0" fillId="0" borderId="3" xfId="0" applyBorder="1"/>
    <xf numFmtId="0" fontId="0" fillId="3" borderId="1" xfId="0" applyFill="1" applyBorder="1" applyAlignment="1">
      <alignment horizontal="left" vertical="center"/>
    </xf>
    <xf numFmtId="0" fontId="0" fillId="3" borderId="1" xfId="0" applyFill="1" applyBorder="1" applyAlignment="1">
      <alignment horizontal="left" vertical="center" indent="1"/>
    </xf>
    <xf numFmtId="0" fontId="3" fillId="0" borderId="0" xfId="0" applyFont="1" applyAlignment="1">
      <alignment vertical="center"/>
    </xf>
  </cellXfs>
  <cellStyles count="1">
    <cellStyle name="Normal" xfId="0" builtinId="0"/>
  </cellStyles>
  <dxfs count="1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3"/>
  <sheetViews>
    <sheetView tabSelected="1" zoomScaleNormal="100" workbookViewId="0">
      <pane ySplit="4" topLeftCell="A5" activePane="bottomLeft" state="frozen"/>
      <selection pane="bottomLeft"/>
    </sheetView>
  </sheetViews>
  <sheetFormatPr defaultRowHeight="15" x14ac:dyDescent="0.25"/>
  <cols>
    <col min="1" max="1" width="2.28515625" customWidth="1"/>
    <col min="2" max="2" width="18.140625" customWidth="1"/>
    <col min="3" max="3" width="30.28515625" bestFit="1" customWidth="1"/>
    <col min="4" max="4" width="37" customWidth="1"/>
    <col min="5" max="5" width="38.85546875" customWidth="1"/>
    <col min="6" max="6" width="64.85546875" customWidth="1"/>
    <col min="7" max="7" width="53.7109375" customWidth="1"/>
    <col min="8" max="8" width="44.42578125" customWidth="1"/>
    <col min="9" max="9" width="11.140625" customWidth="1"/>
    <col min="10" max="10" width="46.28515625" customWidth="1"/>
    <col min="11" max="11" width="18.5703125" customWidth="1"/>
    <col min="12" max="12" width="36.42578125" customWidth="1"/>
    <col min="13" max="13" width="53.7109375" customWidth="1"/>
    <col min="14" max="14" width="24" customWidth="1"/>
    <col min="16" max="16" width="31.140625" customWidth="1"/>
  </cols>
  <sheetData>
    <row r="1" spans="2:16" ht="26.25" customHeight="1" x14ac:dyDescent="0.25">
      <c r="B1" s="22" t="s">
        <v>0</v>
      </c>
      <c r="C1" s="23"/>
      <c r="D1" s="23"/>
      <c r="E1" s="23"/>
      <c r="F1" s="23"/>
      <c r="G1" s="23"/>
      <c r="H1" s="23"/>
      <c r="I1" s="23"/>
      <c r="J1" s="23"/>
      <c r="K1" s="23"/>
    </row>
    <row r="2" spans="2:16" x14ac:dyDescent="0.25">
      <c r="B2" s="28" t="s">
        <v>159</v>
      </c>
      <c r="C2" s="23"/>
      <c r="D2" s="23"/>
      <c r="E2" s="23"/>
      <c r="F2" s="23"/>
      <c r="G2" s="23"/>
      <c r="H2" s="23"/>
      <c r="I2" s="23"/>
      <c r="J2" s="23"/>
      <c r="K2" s="23"/>
    </row>
    <row r="4" spans="2:16" ht="36" customHeight="1" x14ac:dyDescent="0.25">
      <c r="B4" s="1" t="s">
        <v>1</v>
      </c>
      <c r="C4" s="2" t="s">
        <v>2</v>
      </c>
      <c r="D4" s="1" t="s">
        <v>3</v>
      </c>
      <c r="E4" s="1" t="s">
        <v>4</v>
      </c>
      <c r="F4" s="1" t="s">
        <v>5</v>
      </c>
      <c r="G4" s="1" t="s">
        <v>6</v>
      </c>
      <c r="H4" s="1" t="s">
        <v>7</v>
      </c>
      <c r="I4" s="2" t="s">
        <v>8</v>
      </c>
      <c r="J4" s="2" t="s">
        <v>9</v>
      </c>
      <c r="K4" s="2" t="s">
        <v>10</v>
      </c>
      <c r="L4" s="2" t="s">
        <v>124</v>
      </c>
      <c r="M4" s="2" t="s">
        <v>125</v>
      </c>
      <c r="N4" s="24" t="s">
        <v>11</v>
      </c>
      <c r="O4" s="25"/>
      <c r="P4" s="21"/>
    </row>
    <row r="5" spans="2:16" ht="90" customHeight="1" x14ac:dyDescent="0.25">
      <c r="B5" s="3" t="s">
        <v>12</v>
      </c>
      <c r="C5" s="4">
        <f>DATE(2026,9,6)</f>
        <v>46271</v>
      </c>
      <c r="D5" s="3" t="s">
        <v>13</v>
      </c>
      <c r="E5" s="5" t="s">
        <v>14</v>
      </c>
      <c r="F5" s="5" t="s">
        <v>15</v>
      </c>
      <c r="G5" s="5" t="s">
        <v>16</v>
      </c>
      <c r="H5" s="6" t="s">
        <v>17</v>
      </c>
      <c r="I5" s="6" t="s">
        <v>18</v>
      </c>
      <c r="J5" s="6" t="s">
        <v>17</v>
      </c>
      <c r="K5" s="7" t="s">
        <v>19</v>
      </c>
      <c r="L5" s="5" t="s">
        <v>126</v>
      </c>
      <c r="M5" s="5" t="s">
        <v>127</v>
      </c>
      <c r="N5" s="27" t="s">
        <v>20</v>
      </c>
      <c r="O5" s="21"/>
      <c r="P5" s="13">
        <f>COUNTIF($K$5:$K$148,"DECIDED")</f>
        <v>18</v>
      </c>
    </row>
    <row r="6" spans="2:16" ht="200.1" customHeight="1" x14ac:dyDescent="0.25">
      <c r="B6" s="8" t="s">
        <v>21</v>
      </c>
      <c r="C6" s="9">
        <f>DATE(2026,9,29)</f>
        <v>46294</v>
      </c>
      <c r="D6" s="8" t="s">
        <v>22</v>
      </c>
      <c r="E6" s="10" t="s">
        <v>23</v>
      </c>
      <c r="F6" s="10" t="s">
        <v>24</v>
      </c>
      <c r="G6" s="10" t="s">
        <v>25</v>
      </c>
      <c r="H6" s="11" t="s">
        <v>17</v>
      </c>
      <c r="I6" s="11" t="s">
        <v>18</v>
      </c>
      <c r="J6" s="11" t="s">
        <v>26</v>
      </c>
      <c r="K6" s="7" t="s">
        <v>19</v>
      </c>
      <c r="L6" s="10" t="s">
        <v>128</v>
      </c>
      <c r="M6" s="10" t="s">
        <v>129</v>
      </c>
      <c r="N6" s="27" t="s">
        <v>27</v>
      </c>
      <c r="O6" s="21"/>
      <c r="P6" s="13">
        <f>COUNTIF($K$5:$K$513,"DEFERRED")</f>
        <v>0</v>
      </c>
    </row>
    <row r="7" spans="2:16" ht="199.5" customHeight="1" x14ac:dyDescent="0.25">
      <c r="B7" s="3" t="s">
        <v>28</v>
      </c>
      <c r="C7" s="4">
        <f>DATE(2026,9,29)</f>
        <v>46294</v>
      </c>
      <c r="D7" s="3" t="s">
        <v>29</v>
      </c>
      <c r="E7" s="5" t="s">
        <v>30</v>
      </c>
      <c r="F7" s="5" t="s">
        <v>31</v>
      </c>
      <c r="G7" s="5" t="s">
        <v>32</v>
      </c>
      <c r="H7" s="6" t="s">
        <v>17</v>
      </c>
      <c r="I7" s="6" t="s">
        <v>18</v>
      </c>
      <c r="J7" s="6" t="s">
        <v>33</v>
      </c>
      <c r="K7" s="7" t="s">
        <v>19</v>
      </c>
      <c r="L7" s="5" t="s">
        <v>130</v>
      </c>
      <c r="M7" s="5" t="s">
        <v>151</v>
      </c>
      <c r="N7" s="26" t="s">
        <v>34</v>
      </c>
      <c r="O7" s="21"/>
      <c r="P7" s="13">
        <f>COUNTIF($K$5:$K$762,"SUPERSEDED")</f>
        <v>1</v>
      </c>
    </row>
    <row r="8" spans="2:16" ht="57" customHeight="1" x14ac:dyDescent="0.25">
      <c r="B8" s="8" t="s">
        <v>35</v>
      </c>
      <c r="C8" s="9">
        <f>DATE(2026,9,6)</f>
        <v>46271</v>
      </c>
      <c r="D8" s="8" t="s">
        <v>36</v>
      </c>
      <c r="E8" s="10" t="s">
        <v>37</v>
      </c>
      <c r="F8" s="10" t="s">
        <v>38</v>
      </c>
      <c r="G8" s="10" t="s">
        <v>39</v>
      </c>
      <c r="H8" s="11" t="s">
        <v>17</v>
      </c>
      <c r="I8" s="11" t="s">
        <v>18</v>
      </c>
      <c r="J8" s="11" t="s">
        <v>17</v>
      </c>
      <c r="K8" s="12" t="s">
        <v>19</v>
      </c>
      <c r="L8" s="10" t="s">
        <v>131</v>
      </c>
      <c r="M8" s="10" t="s">
        <v>155</v>
      </c>
      <c r="N8" s="20" t="s">
        <v>40</v>
      </c>
      <c r="O8" s="21"/>
      <c r="P8" s="14">
        <f>SUM(P5:P7)</f>
        <v>19</v>
      </c>
    </row>
    <row r="9" spans="2:16" ht="156.75" customHeight="1" x14ac:dyDescent="0.25">
      <c r="B9" s="3" t="s">
        <v>41</v>
      </c>
      <c r="C9" s="4">
        <f>DATE(2026,9,29)</f>
        <v>46294</v>
      </c>
      <c r="D9" s="3" t="s">
        <v>42</v>
      </c>
      <c r="E9" s="5" t="s">
        <v>43</v>
      </c>
      <c r="F9" s="5" t="s">
        <v>44</v>
      </c>
      <c r="G9" s="5" t="s">
        <v>45</v>
      </c>
      <c r="H9" s="6" t="s">
        <v>17</v>
      </c>
      <c r="I9" s="6" t="s">
        <v>18</v>
      </c>
      <c r="J9" s="6" t="s">
        <v>46</v>
      </c>
      <c r="K9" s="12" t="s">
        <v>19</v>
      </c>
      <c r="L9" s="5" t="s">
        <v>132</v>
      </c>
      <c r="M9" s="5" t="s">
        <v>140</v>
      </c>
    </row>
    <row r="10" spans="2:16" ht="42.75" customHeight="1" x14ac:dyDescent="0.25">
      <c r="B10" s="8" t="s">
        <v>47</v>
      </c>
      <c r="C10" s="9">
        <f>DATE(2026,9,6)</f>
        <v>46271</v>
      </c>
      <c r="D10" s="8" t="s">
        <v>48</v>
      </c>
      <c r="E10" s="10" t="s">
        <v>49</v>
      </c>
      <c r="F10" s="10" t="s">
        <v>50</v>
      </c>
      <c r="G10" s="10" t="s">
        <v>51</v>
      </c>
      <c r="H10" s="11" t="s">
        <v>17</v>
      </c>
      <c r="I10" s="11" t="s">
        <v>18</v>
      </c>
      <c r="J10" s="11" t="s">
        <v>17</v>
      </c>
      <c r="K10" s="12" t="s">
        <v>19</v>
      </c>
      <c r="L10" s="10" t="s">
        <v>141</v>
      </c>
      <c r="M10" s="10" t="s">
        <v>142</v>
      </c>
    </row>
    <row r="11" spans="2:16" ht="42.75" customHeight="1" x14ac:dyDescent="0.25">
      <c r="B11" s="3" t="s">
        <v>52</v>
      </c>
      <c r="C11" s="4">
        <f>DATE(2026,9,6)</f>
        <v>46271</v>
      </c>
      <c r="D11" s="3" t="s">
        <v>53</v>
      </c>
      <c r="E11" s="5" t="s">
        <v>54</v>
      </c>
      <c r="F11" s="5" t="s">
        <v>55</v>
      </c>
      <c r="G11" s="5" t="s">
        <v>56</v>
      </c>
      <c r="H11" s="6" t="s">
        <v>17</v>
      </c>
      <c r="I11" s="6" t="s">
        <v>18</v>
      </c>
      <c r="J11" s="6" t="s">
        <v>17</v>
      </c>
      <c r="K11" s="19" t="s">
        <v>57</v>
      </c>
      <c r="L11" s="5" t="s">
        <v>133</v>
      </c>
      <c r="M11" s="5" t="s">
        <v>134</v>
      </c>
    </row>
    <row r="12" spans="2:16" ht="71.25" customHeight="1" x14ac:dyDescent="0.25">
      <c r="B12" s="8" t="s">
        <v>58</v>
      </c>
      <c r="C12" s="9">
        <f>DATE(2026,9,8)</f>
        <v>46273</v>
      </c>
      <c r="D12" s="8" t="s">
        <v>59</v>
      </c>
      <c r="E12" s="10" t="s">
        <v>60</v>
      </c>
      <c r="F12" s="10" t="s">
        <v>61</v>
      </c>
      <c r="G12" s="10" t="s">
        <v>62</v>
      </c>
      <c r="H12" s="11" t="s">
        <v>17</v>
      </c>
      <c r="I12" s="11" t="s">
        <v>18</v>
      </c>
      <c r="J12" s="11" t="s">
        <v>17</v>
      </c>
      <c r="K12" s="12" t="s">
        <v>19</v>
      </c>
      <c r="L12" s="10" t="s">
        <v>131</v>
      </c>
      <c r="M12" s="10" t="s">
        <v>135</v>
      </c>
    </row>
    <row r="13" spans="2:16" ht="160.15" customHeight="1" x14ac:dyDescent="0.25">
      <c r="B13" s="8" t="s">
        <v>63</v>
      </c>
      <c r="C13" s="9">
        <f>DATE(2026,9,9)</f>
        <v>46274</v>
      </c>
      <c r="D13" s="8" t="s">
        <v>64</v>
      </c>
      <c r="E13" s="10" t="s">
        <v>65</v>
      </c>
      <c r="F13" s="10" t="s">
        <v>66</v>
      </c>
      <c r="G13" s="10" t="s">
        <v>67</v>
      </c>
      <c r="H13" s="11" t="s">
        <v>17</v>
      </c>
      <c r="I13" s="11" t="s">
        <v>18</v>
      </c>
      <c r="J13" s="11" t="s">
        <v>17</v>
      </c>
      <c r="K13" s="12" t="s">
        <v>19</v>
      </c>
      <c r="L13" s="10" t="s">
        <v>131</v>
      </c>
      <c r="M13" s="10" t="s">
        <v>136</v>
      </c>
    </row>
    <row r="14" spans="2:16" ht="150" customHeight="1" x14ac:dyDescent="0.25">
      <c r="B14" s="7" t="s">
        <v>68</v>
      </c>
      <c r="C14" s="16">
        <f t="shared" ref="C14:C21" si="0">DATE(2026,9,29)</f>
        <v>46294</v>
      </c>
      <c r="D14" s="18" t="s">
        <v>69</v>
      </c>
      <c r="E14" s="17" t="s">
        <v>70</v>
      </c>
      <c r="F14" s="17" t="s">
        <v>71</v>
      </c>
      <c r="G14" s="17" t="s">
        <v>72</v>
      </c>
      <c r="H14" s="17" t="s">
        <v>73</v>
      </c>
      <c r="I14" s="6" t="s">
        <v>74</v>
      </c>
      <c r="J14" s="6" t="s">
        <v>75</v>
      </c>
      <c r="K14" s="12" t="s">
        <v>19</v>
      </c>
      <c r="L14" s="17" t="s">
        <v>137</v>
      </c>
      <c r="M14" s="17" t="s">
        <v>143</v>
      </c>
    </row>
    <row r="15" spans="2:16" ht="299.25" customHeight="1" x14ac:dyDescent="0.25">
      <c r="B15" s="8" t="s">
        <v>76</v>
      </c>
      <c r="C15" s="9">
        <f t="shared" si="0"/>
        <v>46294</v>
      </c>
      <c r="D15" s="8" t="s">
        <v>77</v>
      </c>
      <c r="E15" s="10" t="s">
        <v>78</v>
      </c>
      <c r="F15" s="10" t="s">
        <v>79</v>
      </c>
      <c r="G15" s="10" t="s">
        <v>80</v>
      </c>
      <c r="H15" s="11" t="s">
        <v>17</v>
      </c>
      <c r="I15" s="11" t="s">
        <v>18</v>
      </c>
      <c r="J15" s="11" t="s">
        <v>17</v>
      </c>
      <c r="K15" s="12" t="s">
        <v>20</v>
      </c>
      <c r="L15" s="10" t="s">
        <v>153</v>
      </c>
      <c r="M15" s="10" t="s">
        <v>154</v>
      </c>
    </row>
    <row r="16" spans="2:16" ht="360" customHeight="1" x14ac:dyDescent="0.25">
      <c r="B16" s="7" t="s">
        <v>81</v>
      </c>
      <c r="C16" s="16">
        <f t="shared" si="0"/>
        <v>46294</v>
      </c>
      <c r="D16" s="18" t="s">
        <v>82</v>
      </c>
      <c r="E16" s="15" t="s">
        <v>83</v>
      </c>
      <c r="F16" s="15" t="s">
        <v>84</v>
      </c>
      <c r="G16" s="15" t="s">
        <v>85</v>
      </c>
      <c r="H16" s="6" t="s">
        <v>17</v>
      </c>
      <c r="I16" s="6" t="s">
        <v>18</v>
      </c>
      <c r="J16" s="6" t="s">
        <v>17</v>
      </c>
      <c r="K16" s="12" t="s">
        <v>20</v>
      </c>
      <c r="L16" s="15" t="s">
        <v>144</v>
      </c>
      <c r="M16" s="15" t="s">
        <v>145</v>
      </c>
    </row>
    <row r="17" spans="2:13" ht="72" customHeight="1" x14ac:dyDescent="0.25">
      <c r="B17" s="8" t="s">
        <v>86</v>
      </c>
      <c r="C17" s="9">
        <f t="shared" si="0"/>
        <v>46294</v>
      </c>
      <c r="D17" s="8" t="s">
        <v>87</v>
      </c>
      <c r="E17" s="10" t="s">
        <v>54</v>
      </c>
      <c r="F17" s="10" t="s">
        <v>88</v>
      </c>
      <c r="G17" s="10" t="s">
        <v>89</v>
      </c>
      <c r="H17" s="11" t="s">
        <v>17</v>
      </c>
      <c r="I17" s="11" t="s">
        <v>18</v>
      </c>
      <c r="J17" s="11" t="s">
        <v>17</v>
      </c>
      <c r="K17" s="12" t="s">
        <v>19</v>
      </c>
      <c r="L17" s="10" t="s">
        <v>131</v>
      </c>
      <c r="M17" s="10" t="s">
        <v>156</v>
      </c>
    </row>
    <row r="18" spans="2:13" ht="156.75" customHeight="1" x14ac:dyDescent="0.25">
      <c r="B18" s="8" t="s">
        <v>90</v>
      </c>
      <c r="C18" s="9">
        <f t="shared" si="0"/>
        <v>46294</v>
      </c>
      <c r="D18" s="8" t="s">
        <v>91</v>
      </c>
      <c r="E18" s="10" t="s">
        <v>92</v>
      </c>
      <c r="F18" s="10" t="s">
        <v>93</v>
      </c>
      <c r="G18" s="10" t="s">
        <v>94</v>
      </c>
      <c r="H18" s="11" t="s">
        <v>17</v>
      </c>
      <c r="I18" s="11" t="s">
        <v>95</v>
      </c>
      <c r="J18" s="11" t="s">
        <v>17</v>
      </c>
      <c r="K18" s="12" t="s">
        <v>19</v>
      </c>
      <c r="L18" s="10" t="s">
        <v>131</v>
      </c>
      <c r="M18" s="10" t="s">
        <v>138</v>
      </c>
    </row>
    <row r="19" spans="2:13" ht="72" customHeight="1" x14ac:dyDescent="0.25">
      <c r="B19" s="8" t="s">
        <v>96</v>
      </c>
      <c r="C19" s="9">
        <f t="shared" si="0"/>
        <v>46294</v>
      </c>
      <c r="D19" s="8" t="s">
        <v>97</v>
      </c>
      <c r="E19" s="10" t="s">
        <v>98</v>
      </c>
      <c r="F19" s="10" t="s">
        <v>99</v>
      </c>
      <c r="G19" s="10" t="s">
        <v>100</v>
      </c>
      <c r="H19" s="11" t="s">
        <v>17</v>
      </c>
      <c r="I19" s="11" t="s">
        <v>101</v>
      </c>
      <c r="J19" s="11" t="s">
        <v>17</v>
      </c>
      <c r="K19" s="12" t="s">
        <v>19</v>
      </c>
      <c r="L19" s="10" t="s">
        <v>146</v>
      </c>
      <c r="M19" s="10" t="s">
        <v>152</v>
      </c>
    </row>
    <row r="20" spans="2:13" ht="72" customHeight="1" x14ac:dyDescent="0.25">
      <c r="B20" s="8" t="s">
        <v>102</v>
      </c>
      <c r="C20" s="9">
        <f t="shared" si="0"/>
        <v>46294</v>
      </c>
      <c r="D20" s="8" t="s">
        <v>103</v>
      </c>
      <c r="E20" s="10" t="s">
        <v>104</v>
      </c>
      <c r="F20" s="10" t="s">
        <v>105</v>
      </c>
      <c r="G20" s="10" t="s">
        <v>106</v>
      </c>
      <c r="H20" s="11" t="s">
        <v>17</v>
      </c>
      <c r="I20" s="11" t="s">
        <v>101</v>
      </c>
      <c r="J20" s="11" t="s">
        <v>17</v>
      </c>
      <c r="K20" s="12" t="s">
        <v>19</v>
      </c>
      <c r="L20" s="10" t="s">
        <v>147</v>
      </c>
      <c r="M20" s="10" t="s">
        <v>150</v>
      </c>
    </row>
    <row r="21" spans="2:13" ht="72" customHeight="1" x14ac:dyDescent="0.25">
      <c r="B21" s="8" t="s">
        <v>107</v>
      </c>
      <c r="C21" s="9">
        <f t="shared" si="0"/>
        <v>46294</v>
      </c>
      <c r="D21" s="8" t="s">
        <v>108</v>
      </c>
      <c r="E21" s="10" t="s">
        <v>109</v>
      </c>
      <c r="F21" s="10" t="s">
        <v>110</v>
      </c>
      <c r="G21" s="10" t="s">
        <v>111</v>
      </c>
      <c r="H21" s="11" t="s">
        <v>17</v>
      </c>
      <c r="I21" s="11" t="s">
        <v>101</v>
      </c>
      <c r="J21" s="11" t="s">
        <v>17</v>
      </c>
      <c r="K21" s="12" t="s">
        <v>19</v>
      </c>
      <c r="L21" s="10" t="s">
        <v>148</v>
      </c>
      <c r="M21" s="10" t="s">
        <v>149</v>
      </c>
    </row>
    <row r="22" spans="2:13" ht="72" customHeight="1" x14ac:dyDescent="0.25">
      <c r="B22" s="8" t="s">
        <v>112</v>
      </c>
      <c r="C22" s="9">
        <f>DATE(2026,10,11)</f>
        <v>46306</v>
      </c>
      <c r="D22" s="8" t="s">
        <v>113</v>
      </c>
      <c r="E22" s="10" t="s">
        <v>114</v>
      </c>
      <c r="F22" s="10" t="s">
        <v>115</v>
      </c>
      <c r="G22" s="10" t="s">
        <v>116</v>
      </c>
      <c r="H22" s="11" t="s">
        <v>117</v>
      </c>
      <c r="I22" s="11" t="s">
        <v>18</v>
      </c>
      <c r="J22" s="11" t="s">
        <v>17</v>
      </c>
      <c r="K22" s="12" t="s">
        <v>19</v>
      </c>
      <c r="L22" s="10" t="s">
        <v>139</v>
      </c>
      <c r="M22" s="10" t="s">
        <v>157</v>
      </c>
    </row>
    <row r="23" spans="2:13" ht="268.7" customHeight="1" x14ac:dyDescent="0.25">
      <c r="B23" s="8" t="s">
        <v>118</v>
      </c>
      <c r="C23" s="9">
        <f>DATE(2026,10,12)</f>
        <v>46307</v>
      </c>
      <c r="D23" s="8" t="s">
        <v>119</v>
      </c>
      <c r="E23" s="10" t="s">
        <v>120</v>
      </c>
      <c r="F23" s="10" t="s">
        <v>121</v>
      </c>
      <c r="G23" s="10" t="s">
        <v>122</v>
      </c>
      <c r="H23" s="11" t="s">
        <v>123</v>
      </c>
      <c r="I23" s="11" t="s">
        <v>18</v>
      </c>
      <c r="J23" s="11" t="s">
        <v>17</v>
      </c>
      <c r="K23" s="12" t="s">
        <v>19</v>
      </c>
      <c r="L23" s="10" t="s">
        <v>131</v>
      </c>
      <c r="M23" s="10" t="s">
        <v>158</v>
      </c>
    </row>
  </sheetData>
  <mergeCells count="7">
    <mergeCell ref="N8:O8"/>
    <mergeCell ref="B1:K1"/>
    <mergeCell ref="N4:P4"/>
    <mergeCell ref="N7:O7"/>
    <mergeCell ref="N6:O6"/>
    <mergeCell ref="B2:K2"/>
    <mergeCell ref="N5:O5"/>
  </mergeCells>
  <conditionalFormatting sqref="C5:C13">
    <cfRule type="cellIs" dxfId="13" priority="22" operator="equal">
      <formula>"—"</formula>
    </cfRule>
  </conditionalFormatting>
  <conditionalFormatting sqref="C15">
    <cfRule type="cellIs" dxfId="12" priority="19" operator="equal">
      <formula>"—"</formula>
    </cfRule>
  </conditionalFormatting>
  <conditionalFormatting sqref="C17:C21">
    <cfRule type="cellIs" dxfId="11" priority="1" operator="equal">
      <formula>"—"</formula>
    </cfRule>
  </conditionalFormatting>
  <conditionalFormatting sqref="H5">
    <cfRule type="cellIs" dxfId="10" priority="2" operator="equal">
      <formula>"—"</formula>
    </cfRule>
  </conditionalFormatting>
  <conditionalFormatting sqref="H7">
    <cfRule type="cellIs" dxfId="9" priority="3" operator="equal">
      <formula>"—"</formula>
    </cfRule>
  </conditionalFormatting>
  <conditionalFormatting sqref="H9">
    <cfRule type="cellIs" dxfId="8" priority="4" operator="equal">
      <formula>"—"</formula>
    </cfRule>
  </conditionalFormatting>
  <conditionalFormatting sqref="H11">
    <cfRule type="cellIs" dxfId="7" priority="5" operator="equal">
      <formula>"—"</formula>
    </cfRule>
  </conditionalFormatting>
  <conditionalFormatting sqref="H16">
    <cfRule type="cellIs" dxfId="6" priority="7" operator="equal">
      <formula>"—"</formula>
    </cfRule>
  </conditionalFormatting>
  <conditionalFormatting sqref="J5">
    <cfRule type="cellIs" dxfId="5" priority="12" operator="equal">
      <formula>"—"</formula>
    </cfRule>
  </conditionalFormatting>
  <conditionalFormatting sqref="J11">
    <cfRule type="cellIs" dxfId="4" priority="11" operator="equal">
      <formula>"—"</formula>
    </cfRule>
  </conditionalFormatting>
  <conditionalFormatting sqref="J14">
    <cfRule type="cellIs" dxfId="3" priority="9" operator="equal">
      <formula>"—"</formula>
    </cfRule>
  </conditionalFormatting>
  <conditionalFormatting sqref="J16">
    <cfRule type="cellIs" dxfId="2" priority="8" operator="equal">
      <formula>"—"</formula>
    </cfRule>
  </conditionalFormatting>
  <conditionalFormatting sqref="K5:K23">
    <cfRule type="containsText" dxfId="1" priority="23" operator="containsText" text="DECIDED">
      <formula>NOT(ISERROR(SEARCH("DECIDED",K5)))</formula>
    </cfRule>
    <cfRule type="containsText" dxfId="0" priority="24" operator="containsText" text="DEFERRED">
      <formula>NOT(ISERROR(SEARCH("DEFERRED",K5)))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Robert Roelof Van Der Merwe</cp:lastModifiedBy>
  <dcterms:created xsi:type="dcterms:W3CDTF">2026-09-08T21:28:48Z</dcterms:created>
  <dcterms:modified xsi:type="dcterms:W3CDTF">2026-10-18T14:04:12Z</dcterms:modified>
</cp:coreProperties>
</file>