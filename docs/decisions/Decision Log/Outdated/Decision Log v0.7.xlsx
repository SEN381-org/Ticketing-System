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ecision Log" sheetId="1" state="visible" r:id="rId1"/>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ptos Narrow"/>
      <family val="2"/>
      <b val="1"/>
      <color rgb="FF0F4761"/>
      <sz val="20"/>
      <scheme val="minor"/>
    </font>
    <font>
      <name val="Aptos Narrow"/>
      <family val="2"/>
      <i val="1"/>
      <color rgb="FF595959"/>
      <sz val="11"/>
      <scheme val="minor"/>
    </font>
    <font>
      <name val="Aptos Narrow"/>
      <family val="2"/>
      <b val="1"/>
      <color rgb="FFFFFFFF"/>
      <sz val="11"/>
      <scheme val="minor"/>
    </font>
    <font>
      <name val="Aptos Narrow"/>
      <family val="2"/>
      <b val="1"/>
      <color rgb="FF000000"/>
      <sz val="10.5"/>
      <scheme val="minor"/>
    </font>
    <font>
      <name val="Aptos Narrow"/>
      <family val="2"/>
      <color rgb="FF000000"/>
      <sz val="10.5"/>
      <scheme val="minor"/>
    </font>
    <font>
      <name val="Aptos Narrow"/>
      <family val="2"/>
      <b val="1"/>
      <color rgb="FF0F4761"/>
      <sz val="12"/>
      <scheme val="minor"/>
    </font>
    <font>
      <name val="Aptos Narrow"/>
      <family val="2"/>
      <sz val="8"/>
      <scheme val="minor"/>
    </font>
    <font>
      <name val="Aptos Narrow"/>
      <family val="2"/>
      <b val="1"/>
      <color theme="5" tint="-0.499984740745262"/>
      <sz val="10.5"/>
      <scheme val="minor"/>
    </font>
  </fonts>
  <fills count="6">
    <fill>
      <patternFill/>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1">
    <xf numFmtId="0" fontId="0" fillId="0" borderId="0" pivotButton="0" quotePrefix="0" xfId="0"/>
    <xf numFmtId="0" fontId="4" fillId="2" borderId="1" applyAlignment="1" pivotButton="0" quotePrefix="0" xfId="0">
      <alignment horizontal="left" vertical="center" wrapText="1" indent="1"/>
    </xf>
    <xf numFmtId="0" fontId="4" fillId="2" borderId="1" applyAlignment="1" pivotButton="0" quotePrefix="0" xfId="0">
      <alignment horizontal="center" vertical="center" wrapText="1" indent="1"/>
    </xf>
    <xf numFmtId="0" fontId="5" fillId="0" borderId="1" applyAlignment="1" pivotButton="0" quotePrefix="0" xfId="0">
      <alignment vertical="center" wrapText="1" indent="1"/>
    </xf>
    <xf numFmtId="14" fontId="6" fillId="0" borderId="1" applyAlignment="1" pivotButton="0" quotePrefix="0" xfId="0">
      <alignment horizontal="center" vertical="center" wrapText="1"/>
    </xf>
    <xf numFmtId="0" fontId="6" fillId="0" borderId="1" applyAlignment="1" pivotButton="0" quotePrefix="0" xfId="0">
      <alignment vertical="center" wrapText="1" inden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vertical="center" wrapText="1" indent="1"/>
    </xf>
    <xf numFmtId="14" fontId="6" fillId="3" borderId="1" applyAlignment="1" pivotButton="0" quotePrefix="0" xfId="0">
      <alignment horizontal="center" vertical="center" wrapText="1"/>
    </xf>
    <xf numFmtId="0" fontId="6" fillId="3" borderId="1" applyAlignment="1" pivotButton="0" quotePrefix="0" xfId="0">
      <alignment vertical="center" wrapText="1" inden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vertical="center" wrapText="1"/>
    </xf>
    <xf numFmtId="0" fontId="1"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vertical="center"/>
    </xf>
    <xf numFmtId="0" fontId="1" fillId="4" borderId="1" applyAlignment="1" pivotButton="0" quotePrefix="0" xfId="0">
      <alignment horizontal="left" vertical="center" indent="1"/>
    </xf>
    <xf numFmtId="0" fontId="7" fillId="0" borderId="1" applyAlignment="1" pivotButton="0" quotePrefix="0" xfId="0">
      <alignment horizontal="center" vertical="center"/>
    </xf>
    <xf numFmtId="0" fontId="0" fillId="3" borderId="1" applyAlignment="1" pivotButton="0" quotePrefix="0" xfId="0">
      <alignment horizontal="left" vertical="center" indent="1"/>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0" borderId="6" pivotButton="0" quotePrefix="0" xfId="0"/>
    <xf numFmtId="0" fontId="0" fillId="0" borderId="3" pivotButton="0" quotePrefix="0" xfId="0"/>
    <xf numFmtId="0" fontId="0" fillId="3" borderId="1" applyAlignment="1" pivotButton="0" quotePrefix="0" xfId="0">
      <alignment horizontal="left" vertical="center"/>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2"/>
  <sheetViews>
    <sheetView tabSelected="1" zoomScale="55" zoomScaleNormal="55" workbookViewId="0">
      <pane ySplit="4" topLeftCell="A15" activePane="bottomLeft" state="frozen"/>
      <selection pane="bottomLeft" activeCell="R9" sqref="R9"/>
    </sheetView>
  </sheetViews>
  <sheetFormatPr baseColWidth="8" defaultRowHeight="15"/>
  <cols>
    <col width="2.28515625" customWidth="1" min="1" max="1"/>
    <col width="18.140625" customWidth="1" min="2" max="2"/>
    <col width="30.28515625" bestFit="1" customWidth="1" min="3" max="3"/>
    <col width="37" customWidth="1" min="4" max="4"/>
    <col width="38.85546875" customWidth="1" min="5" max="5"/>
    <col width="64.85546875" customWidth="1" min="6" max="6"/>
    <col width="53.7109375" customWidth="1" min="7" max="7"/>
    <col width="44.42578125" customWidth="1" min="8" max="8"/>
    <col width="11.140625" customWidth="1" min="9" max="9"/>
    <col width="46.28515625" customWidth="1" min="10" max="10"/>
    <col width="18.5703125" customWidth="1" min="11" max="11"/>
    <col width="24" customWidth="1" min="14" max="14"/>
    <col width="31.140625" customWidth="1" min="16" max="16"/>
  </cols>
  <sheetData>
    <row r="1" ht="26.25" customHeight="1">
      <c r="B1" s="20" t="inlineStr">
        <is>
          <t>Decision Log</t>
        </is>
      </c>
    </row>
    <row r="2">
      <c r="B2" s="22" t="inlineStr">
        <is>
          <t>Decisions and deferments taken during M1 and M2, the alternatives weighed, and what each one commits or blocks downstream</t>
        </is>
      </c>
    </row>
    <row r="4" ht="36" customHeight="1">
      <c r="B4" s="1" t="inlineStr">
        <is>
          <t>ID</t>
        </is>
      </c>
      <c r="C4" s="2" t="inlineStr">
        <is>
          <t>Date</t>
        </is>
      </c>
      <c r="D4" s="1" t="inlineStr">
        <is>
          <t>Decision or deferment</t>
        </is>
      </c>
      <c r="E4" s="1" t="inlineStr">
        <is>
          <t>Alternatives considered</t>
        </is>
      </c>
      <c r="F4" s="1" t="inlineStr">
        <is>
          <t>Rationale</t>
        </is>
      </c>
      <c r="G4" s="1" t="inlineStr">
        <is>
          <t>Consequences / downstream impact</t>
        </is>
      </c>
      <c r="H4" s="1" t="inlineStr">
        <is>
          <t>Evidence still required (if deferred)</t>
        </is>
      </c>
      <c r="I4" s="2" t="inlineStr">
        <is>
          <t>Owner</t>
        </is>
      </c>
      <c r="J4" s="2" t="inlineStr">
        <is>
          <t>Preserved from v1.0</t>
        </is>
      </c>
      <c r="K4" s="2" t="inlineStr">
        <is>
          <t>Status</t>
        </is>
      </c>
      <c r="N4" s="24" t="inlineStr">
        <is>
          <t>Decision status</t>
        </is>
      </c>
      <c r="O4" s="28" t="n"/>
      <c r="P4" s="29" t="n"/>
    </row>
    <row r="5" ht="90" customHeight="1">
      <c r="B5" s="3" t="inlineStr">
        <is>
          <t>DEC-001</t>
        </is>
      </c>
      <c r="C5" s="4">
        <f>DATE(2026,9,6)</f>
        <v/>
      </c>
      <c r="D5" s="3" t="inlineStr">
        <is>
          <t>Scope CivicConnect to a campus / educational institution context</t>
        </is>
      </c>
      <c r="E5" s="5" t="inlineStr">
        <is>
          <t>Municipality or local government; community NGO; residential estate</t>
        </is>
      </c>
      <c r="F5" s="5" t="inlineStr">
        <is>
          <t>The Master Brief does not name the client organisation. The request types listed in s.2 (facility faults, IT support, lost property, security concerns) correspond to an institutional campus. A recorded assumption is preferable to proceeding with an ambiguous stakeholder set.</t>
        </is>
      </c>
      <c r="G5" s="5" t="inlineStr">
        <is>
          <t>Determines the entire stakeholder register and the applicability of POPIA (CON-007). If the assumption is wrong, STK-001 to STK-009 and every derived requirement must be revisited.</t>
        </is>
      </c>
      <c r="H5" s="6" t="inlineStr">
        <is>
          <t>—</t>
        </is>
      </c>
      <c r="I5" s="6" t="inlineStr">
        <is>
          <t>Ethan</t>
        </is>
      </c>
      <c r="J5" s="6" t="inlineStr">
        <is>
          <t>—</t>
        </is>
      </c>
      <c r="K5" s="7" t="inlineStr">
        <is>
          <t>DECIDED</t>
        </is>
      </c>
      <c r="N5" s="25" t="inlineStr">
        <is>
          <t>Decided</t>
        </is>
      </c>
      <c r="O5" s="29" t="n"/>
      <c r="P5" s="13">
        <f>COUNTIF($K$5:$K$148,"DECIDED")</f>
        <v/>
      </c>
    </row>
    <row r="6" ht="200" customHeight="1">
      <c r="B6" s="8" t="inlineStr">
        <is>
          <t>DEC-002</t>
        </is>
      </c>
      <c r="C6" s="9">
        <f>DATE(2026,9,29)</f>
        <v/>
      </c>
      <c r="D6" s="8" t="inlineStr">
        <is>
          <t>Adopt a MERN stack: MongoDB, Express, React and Node.js, with MongoDB Atlas as the managed database service</t>
        </is>
      </c>
      <c r="E6" s="10" t="inlineStr">
        <is>
          <t>Database decision such as Postgres and MySQL which would change the backend platform. Compared in full in the DEC-002 ADR (PostgreSQL and MySQL variants of the same Node/Express/React stack).</t>
        </is>
      </c>
      <c r="F6" s="10" t="inlineStr">
        <is>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is>
      </c>
      <c r="G6" s="10" t="inlineStr">
        <is>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is>
      </c>
      <c r="H6" s="11" t="inlineStr">
        <is>
          <t>—</t>
        </is>
      </c>
      <c r="I6" s="11" t="inlineStr">
        <is>
          <t>Ethan</t>
        </is>
      </c>
      <c r="J6" s="11" t="inlineStr">
        <is>
          <t>Defer selection of the technology stack. Evidence required at deferment: verified availability of candidate technologies in the institutional environment under CON-008. Working deadline of 22 September imposed by CON-013.</t>
        </is>
      </c>
      <c r="K6" s="7" t="inlineStr">
        <is>
          <t>DECIDED</t>
        </is>
      </c>
      <c r="N6" s="25" t="inlineStr">
        <is>
          <t>Deferred</t>
        </is>
      </c>
      <c r="O6" s="29" t="n"/>
      <c r="P6" s="13">
        <f>COUNTIF($K$5:$K$513,"DEFERRED")</f>
        <v/>
      </c>
    </row>
    <row r="7" ht="199.5" customHeight="1">
      <c r="B7" s="3" t="inlineStr">
        <is>
          <t>DEC-003</t>
        </is>
      </c>
      <c r="C7" s="4">
        <f>DATE(2026,9,29)</f>
        <v/>
      </c>
      <c r="D7" s="3" t="inlineStr">
        <is>
          <t>Adopt Hostinger as the application hosting and deployment platform, with MongoDB Atlas as the managed database service</t>
        </is>
      </c>
      <c r="E7" s="5" t="inlineStr">
        <is>
          <t>Vercel, However Hostinger offers more flexibility and customization  given we have access to the server.</t>
        </is>
      </c>
      <c r="F7" s="5" t="inlineStr">
        <is>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is>
      </c>
      <c r="G7" s="5" t="inlineStr">
        <is>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is>
      </c>
      <c r="H7" s="6" t="inlineStr">
        <is>
          <t>—</t>
        </is>
      </c>
      <c r="I7" s="6" t="inlineStr">
        <is>
          <t>Ethan</t>
        </is>
      </c>
      <c r="J7" s="6" t="inlineStr">
        <is>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is>
      </c>
      <c r="K7" s="7" t="inlineStr">
        <is>
          <t>DECIDED</t>
        </is>
      </c>
      <c r="N7" s="30" t="inlineStr">
        <is>
          <t>Superseded</t>
        </is>
      </c>
      <c r="O7" s="29" t="n"/>
      <c r="P7" s="13">
        <f>COUNTIF($K$5:$K$762,"SUPERSEDED")</f>
        <v/>
      </c>
    </row>
    <row r="8" ht="57" customHeight="1">
      <c r="B8" s="8" t="inlineStr">
        <is>
          <t>DEC-004</t>
        </is>
      </c>
      <c r="C8" s="9">
        <f>DATE(2026,9,6)</f>
        <v/>
      </c>
      <c r="D8" s="8" t="inlineStr">
        <is>
          <t>Treat role-based access control as an architecturally significant requirement</t>
        </is>
      </c>
      <c r="E8" s="10" t="inlineStr">
        <is>
          <t>Handle authorisation as an application-level concern during construction; use a single shared staff view</t>
        </is>
      </c>
      <c r="F8" s="10" t="inlineStr">
        <is>
          <t>The CFL-002 resolution restricts security-request visibility by role. Authorisation applied late cannot be retrofitted cleanly across every view and transition, and CON-006 requires it to be addressed from requirements onward.</t>
        </is>
      </c>
      <c r="G8" s="10" t="inlineStr">
        <is>
          <t>Constrains the M2 architecture and data model. Adds verification obligations in M3 under CON-005.</t>
        </is>
      </c>
      <c r="H8" s="11" t="inlineStr">
        <is>
          <t>—</t>
        </is>
      </c>
      <c r="I8" s="11" t="inlineStr">
        <is>
          <t>Ethan</t>
        </is>
      </c>
      <c r="J8" s="11" t="inlineStr">
        <is>
          <t>—</t>
        </is>
      </c>
      <c r="K8" s="12" t="inlineStr">
        <is>
          <t>DECIDED</t>
        </is>
      </c>
      <c r="N8" s="23" t="inlineStr">
        <is>
          <t>Total logged</t>
        </is>
      </c>
      <c r="O8" s="29" t="n"/>
      <c r="P8" s="14">
        <f>SUM(P5:P7)</f>
        <v/>
      </c>
    </row>
    <row r="9" ht="156.75" customHeight="1">
      <c r="B9" s="3" t="inlineStr">
        <is>
          <t>DEC-005</t>
        </is>
      </c>
      <c r="C9" s="4">
        <f>DATE(2026,9,29)</f>
        <v/>
      </c>
      <c r="D9" s="3" t="inlineStr">
        <is>
          <t>Retain identifiable personal information for one month, with aggregated statistics retained beyond that period</t>
        </is>
      </c>
      <c r="E9" s="5" t="inlineStr">
        <is>
          <t>Retain indefinitely; adopt a longer fixed period; continue deferring pending STK-009 guidance</t>
        </is>
      </c>
      <c r="F9" s="5" t="inlineStr">
        <is>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is>
      </c>
      <c r="G9" s="5" t="inlineStr">
        <is>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is>
      </c>
      <c r="H9" s="6" t="inlineStr">
        <is>
          <t>—</t>
        </is>
      </c>
      <c r="I9" s="6" t="inlineStr">
        <is>
          <t>Ethan</t>
        </is>
      </c>
      <c r="J9" s="6" t="inlineStr">
        <is>
          <t>Defer the personal-information retention period. Alternatives at deferment: retain indefinitely; adopt an arbitrary fixed period. Evidence required: retention guidance from the information officer, or a documented institutional retention standard.</t>
        </is>
      </c>
      <c r="K9" s="12" t="inlineStr">
        <is>
          <t>DECIDED</t>
        </is>
      </c>
    </row>
    <row r="10" ht="42.75" customHeight="1">
      <c r="B10" s="8" t="inlineStr">
        <is>
          <t>DEC-006</t>
        </is>
      </c>
      <c r="C10" s="9">
        <f>DATE(2026,9,6)</f>
        <v/>
      </c>
      <c r="D10" s="8" t="inlineStr">
        <is>
          <t>Limit mandatory capture fields at submission to category, location and description</t>
        </is>
      </c>
      <c r="E10" s="10" t="inlineStr">
        <is>
          <t>Capture full structured detail at submission; make all detail optional</t>
        </is>
      </c>
      <c r="F10" s="10" t="inlineStr">
        <is>
          <t>Resolution of CFL-001. Minimal mandatory capture protects submission speed for STK-001; category remains mandatory because the SCP-011 reporting depends on it.</t>
        </is>
      </c>
      <c r="G10" s="10" t="inlineStr">
        <is>
          <t>Reporting richness for STK-005 depends on post-submission detail being supplied. If uptake is poor, this decision may need revisiting through change control.</t>
        </is>
      </c>
      <c r="H10" s="11" t="inlineStr">
        <is>
          <t>—</t>
        </is>
      </c>
      <c r="I10" s="11" t="inlineStr">
        <is>
          <t>Ethan</t>
        </is>
      </c>
      <c r="J10" s="11" t="inlineStr">
        <is>
          <t>—</t>
        </is>
      </c>
      <c r="K10" s="12" t="inlineStr">
        <is>
          <t>DECIDED</t>
        </is>
      </c>
    </row>
    <row r="11" ht="42.75" customHeight="1">
      <c r="B11" s="3" t="inlineStr">
        <is>
          <t>DEC-007</t>
        </is>
      </c>
      <c r="C11" s="4">
        <f>DATE(2026,9,6)</f>
        <v/>
      </c>
      <c r="D11" s="3" t="inlineStr">
        <is>
          <t>Exclude a native mobile application from the committed scope</t>
        </is>
      </c>
      <c r="E11" s="5" t="inlineStr">
        <is>
          <t>Native mobile in addition to web; native mobile instead of web</t>
        </is>
      </c>
      <c r="F11" s="5" t="inlineStr">
        <is>
          <t>A responsive web interface meets the access need within CON-002 and CON-004. A second build and release path is not supportable by three part-time students within the delivery period.</t>
        </is>
      </c>
      <c r="G11" s="5" t="inlineStr">
        <is>
          <t>Places a usability obligation on the web interface for mobile viewports, which becomes a quality attribute for Member B to specify measurably under CON-005.</t>
        </is>
      </c>
      <c r="H11" s="6" t="inlineStr">
        <is>
          <t>—</t>
        </is>
      </c>
      <c r="I11" s="6" t="inlineStr">
        <is>
          <t>Ethan</t>
        </is>
      </c>
      <c r="J11" s="6" t="inlineStr">
        <is>
          <t>—</t>
        </is>
      </c>
      <c r="K11" s="19" t="inlineStr">
        <is>
          <t>SUPERSEDED</t>
        </is>
      </c>
    </row>
    <row r="12" ht="71.25" customHeight="1">
      <c r="B12" s="8" t="inlineStr">
        <is>
          <t>DEC-008</t>
        </is>
      </c>
      <c r="C12" s="9">
        <f>DATE(2026,9,8)</f>
        <v/>
      </c>
      <c r="D12" s="8" t="inlineStr">
        <is>
          <t>Adopt a two-stage protected branching model: feature branches merge to dev, dev merges to main only at a release or baseline point. Both branches protected with two required approvals.</t>
        </is>
      </c>
      <c r="E12" s="10" t="inlineStr">
        <is>
          <t>Trunk-based development with feature branches directly to a single protected main; full GitFlow with release and hotfix branches</t>
        </is>
      </c>
      <c r="F12" s="10" t="inlineStr">
        <is>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is>
      </c>
      <c r="G12" s="10" t="inlineStr">
        <is>
          <t>Every substantive change requires two approvals at two merge points, so integration is slower and both teammates gate every change. main will lag dev, so baseline evidence must be explicitly merged and tagged at each milestone rather than assumed present.</t>
        </is>
      </c>
      <c r="H12" s="11" t="inlineStr">
        <is>
          <t>—</t>
        </is>
      </c>
      <c r="I12" s="11" t="inlineStr">
        <is>
          <t>Ethan</t>
        </is>
      </c>
      <c r="J12" s="11" t="inlineStr">
        <is>
          <t>—</t>
        </is>
      </c>
      <c r="K12" s="12" t="inlineStr">
        <is>
          <t>DECIDED</t>
        </is>
      </c>
    </row>
    <row r="13" ht="160.15" customHeight="1">
      <c r="B13" s="8" t="inlineStr">
        <is>
          <t>DEC-009</t>
        </is>
      </c>
      <c r="C13" s="9">
        <f>DATE(2026,9,9)</f>
        <v/>
      </c>
      <c r="D13" s="8" t="inlineStr">
        <is>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is>
      </c>
      <c r="E13" s="10" t="inlineStr">
        <is>
          <t>Rely on individual members' personal notes; request that all client instructions be issued in writing; treat verbal instructions as non-binding until they appear in a written brief.</t>
        </is>
      </c>
      <c r="F13" s="10" t="inlineStr">
        <is>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is>
      </c>
      <c r="G13" s="10" t="inlineStr">
        <is>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is>
      </c>
      <c r="H13" s="11" t="inlineStr">
        <is>
          <t>—</t>
        </is>
      </c>
      <c r="I13" s="11" t="inlineStr">
        <is>
          <t>Ethan</t>
        </is>
      </c>
      <c r="J13" s="11" t="inlineStr">
        <is>
          <t>—</t>
        </is>
      </c>
      <c r="K13" s="12" t="inlineStr">
        <is>
          <t>DECIDED</t>
        </is>
      </c>
    </row>
    <row r="14" ht="150" customHeight="1">
      <c r="B14" s="7" t="inlineStr">
        <is>
          <t>DEC-010</t>
        </is>
      </c>
      <c r="C14" s="16">
        <f>DATE(2026,9,29)</f>
        <v/>
      </c>
      <c r="D14" s="18" t="inlineStr">
        <is>
          <t>Retain the free Atlas cluster (M0), one per environment, including production; meet the NFR-1.5 recovery point through an encrypted mongodump every 12 hours to a secure institutional server, with 7-day archive retention and a weekly restore test</t>
        </is>
      </c>
      <c r="E14" s="17" t="inlineStr">
        <is>
          <t>Remain on a free M0 cluster and meet the recovery point through scheduled mongodump; adopt the lowest paid tier that provides managed backup; amend NFR-1.5 through controlled change to state a recovery point the selected tier can evidence</t>
        </is>
      </c>
      <c r="F14" s="17" t="inlineStr">
        <is>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is>
      </c>
      <c r="G14" s="17" t="inlineStr">
        <is>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is>
      </c>
      <c r="H14" s="17" t="inlineStr">
        <is>
          <t>E1: BC IT confirmation of the institutional server (encrypted storage, scheduler, outbound 27017), due before the M2 presentation. E2: first restore-test log (M3). E3: cost of the lowest paid tier with managed backup (M3).</t>
        </is>
      </c>
      <c r="I14" s="6" t="inlineStr">
        <is>
          <t>Robert (closure); Ethan (deferment)</t>
        </is>
      </c>
      <c r="J14" s="6" t="inlineStr">
        <is>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is>
      </c>
      <c r="K14" s="12" t="inlineStr">
        <is>
          <t>DECIDED</t>
        </is>
      </c>
    </row>
    <row r="15" ht="299.25" customHeight="1">
      <c r="B15" s="8" t="inlineStr">
        <is>
          <t>DEC-011</t>
        </is>
      </c>
      <c r="C15" s="9">
        <f>DATE(2026,9,29)</f>
        <v/>
      </c>
      <c r="D15" s="8" t="inlineStr">
        <is>
          <t>Publish a domain event from the status-transition service and let interested components subscribe to it, using in-process event publication within the application layer</t>
        </is>
      </c>
      <c r="E15" s="10" t="inlineStr">
        <is>
          <t>Direct orchestration, in which the transition service invokes each consequence in sequence; distributed messaging through a broker or queue</t>
        </is>
      </c>
      <c r="F15" s="10" t="inlineStr">
        <is>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is>
      </c>
      <c r="G15" s="10" t="inlineStr">
        <is>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is>
      </c>
      <c r="H15" s="11" t="inlineStr">
        <is>
          <t>—</t>
        </is>
      </c>
      <c r="I15" s="11" t="inlineStr">
        <is>
          <t>Ethan</t>
        </is>
      </c>
      <c r="J15" s="11" t="inlineStr">
        <is>
          <t>—</t>
        </is>
      </c>
      <c r="K15" s="12" t="inlineStr">
        <is>
          <t>Decided</t>
        </is>
      </c>
    </row>
    <row r="16" ht="360" customHeight="1">
      <c r="B16" s="7" t="inlineStr">
        <is>
          <t>DEC-012</t>
        </is>
      </c>
      <c r="C16" s="16">
        <f>DATE(2026,9,29)</f>
        <v/>
      </c>
      <c r="D16" s="18" t="inlineStr">
        <is>
          <t>Enforce authorisation at three points against one documented rule set: composed Express middleware at the route boundary for function-level access, the service layer for object-level access once the request document is loaded, and the response serialiser for field-level access.</t>
        </is>
      </c>
      <c r="E16" s="15" t="inlineStr">
        <is>
          <t>A single protection proxy per service; a centralised policy service called from every entry point; an explicit guard call at the top of each service method</t>
        </is>
      </c>
      <c r="F16" s="15" t="inlineStr">
        <is>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is>
      </c>
      <c r="G16" s="15" t="inlineStr">
        <is>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is>
      </c>
      <c r="H16" s="6" t="inlineStr">
        <is>
          <t>—</t>
        </is>
      </c>
      <c r="I16" s="6" t="inlineStr">
        <is>
          <t>Ethan</t>
        </is>
      </c>
      <c r="J16" s="6" t="inlineStr">
        <is>
          <t>—</t>
        </is>
      </c>
      <c r="K16" s="12" t="inlineStr">
        <is>
          <t>Decided</t>
        </is>
      </c>
    </row>
    <row r="17" ht="72" customHeight="1">
      <c r="B17" s="8" t="inlineStr">
        <is>
          <t>DEC-013</t>
        </is>
      </c>
      <c r="C17" s="9">
        <f>DATE(2026,9,29)</f>
        <v/>
      </c>
      <c r="D17" s="8" t="inlineStr">
        <is>
          <t>Exclude a native mobile application from the committed scope; mobile access is delivered through responsive web</t>
        </is>
      </c>
      <c r="E17" s="10" t="inlineStr">
        <is>
          <t>Native mobile in addition to web; native mobile instead of web</t>
        </is>
      </c>
      <c r="F17" s="10" t="inlineStr">
        <is>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is>
      </c>
      <c r="G17" s="10" t="inlineStr">
        <is>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is>
      </c>
      <c r="H17" s="11" t="inlineStr">
        <is>
          <t>—</t>
        </is>
      </c>
      <c r="I17" s="11" t="inlineStr">
        <is>
          <t>Ethan</t>
        </is>
      </c>
      <c r="J17" s="11" t="inlineStr">
        <is>
          <t>—</t>
        </is>
      </c>
      <c r="K17" s="12" t="inlineStr">
        <is>
          <t>DECIDED</t>
        </is>
      </c>
    </row>
    <row r="18" ht="156.75" customHeight="1">
      <c r="B18" s="8" t="inlineStr">
        <is>
          <t>DEC-014</t>
        </is>
      </c>
      <c r="C18" s="9">
        <f>DATE(2026,9,29)</f>
        <v/>
      </c>
      <c r="D18" s="8" t="inlineStr">
        <is>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is>
      </c>
      <c r="E18" s="10" t="inlineStr">
        <is>
          <t>Layered monolith organised by technical layer only; open or selectively open layering with a direct read path for reporting; service-based or microservices deployment.</t>
        </is>
      </c>
      <c r="F18" s="10" t="inlineStr">
        <is>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is>
      </c>
      <c r="G18" s="10" t="inlineStr">
        <is>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is>
      </c>
      <c r="H18" s="11" t="inlineStr">
        <is>
          <t>—</t>
        </is>
      </c>
      <c r="I18" s="11" t="inlineStr">
        <is>
          <t>Christiaan</t>
        </is>
      </c>
      <c r="J18" s="11" t="inlineStr">
        <is>
          <t>—</t>
        </is>
      </c>
      <c r="K18" s="12" t="inlineStr">
        <is>
          <t>DECIDED</t>
        </is>
      </c>
    </row>
    <row r="19" ht="72" customHeight="1">
      <c r="B19" s="8" t="inlineStr">
        <is>
          <t>DEC-015</t>
        </is>
      </c>
      <c r="C19" s="9">
        <f>DATE(2026,9,29)</f>
        <v/>
      </c>
      <c r="D19" s="8" t="inlineStr">
        <is>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is>
      </c>
      <c r="E19" s="10" t="inlineStr">
        <is>
          <t>PATCH of a status field (as implemented in the slice); GraphQL; last-write-wins without ETag; a separate idempotencyKeys collection with 24 h TTL; server-side de-duplication by body hash</t>
        </is>
      </c>
      <c r="F19" s="10" t="inlineStr">
        <is>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is>
      </c>
      <c r="G19" s="10" t="inlineStr">
        <is>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is>
      </c>
      <c r="H19" s="11" t="inlineStr">
        <is>
          <t>—</t>
        </is>
      </c>
      <c r="I19" s="11" t="inlineStr">
        <is>
          <t>Robert</t>
        </is>
      </c>
      <c r="J19" s="11" t="inlineStr">
        <is>
          <t>—</t>
        </is>
      </c>
      <c r="K19" s="12" t="inlineStr">
        <is>
          <t>DECIDED</t>
        </is>
      </c>
    </row>
    <row r="20" ht="72" customHeight="1">
      <c r="B20" s="8" t="inlineStr">
        <is>
          <t>DEC-016</t>
        </is>
      </c>
      <c r="C20" s="9">
        <f>DATE(2026,9,29)</f>
        <v/>
      </c>
      <c r="D20" s="8" t="inlineStr">
        <is>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is>
      </c>
      <c r="E20" s="10" t="inlineStr">
        <is>
          <t>Keep AC-NFR-1.10 as written with an application-written audit row; trigger writes requestHistory too; no transaction with compensation; embed history in the request document; pessimistic locking</t>
        </is>
      </c>
      <c r="F20" s="10" t="inlineStr">
        <is>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is>
      </c>
      <c r="G20" s="10" t="inlineStr">
        <is>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is>
      </c>
      <c r="H20" s="11" t="inlineStr">
        <is>
          <t>—</t>
        </is>
      </c>
      <c r="I20" s="11" t="inlineStr">
        <is>
          <t>Robert</t>
        </is>
      </c>
      <c r="J20" s="11" t="inlineStr">
        <is>
          <t>—</t>
        </is>
      </c>
      <c r="K20" s="12" t="inlineStr">
        <is>
          <t>DECIDED</t>
        </is>
      </c>
    </row>
    <row r="21" ht="72" customHeight="1">
      <c r="B21" s="8" t="inlineStr">
        <is>
          <t>DEC-017</t>
        </is>
      </c>
      <c r="C21" s="9">
        <f>DATE(2026,9,29)</f>
        <v/>
      </c>
      <c r="D21" s="8" t="inlineStr">
        <is>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is>
      </c>
      <c r="E21" s="10" t="inlineStr">
        <is>
          <t>Reduce NFR-1.4 to 30 days; extend DEC-005 to 90 days for all data; keep both figures with full-document audit; pseudonymise audit actor ids with a keyed hash</t>
        </is>
      </c>
      <c r="F21" s="10" t="inlineStr">
        <is>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is>
      </c>
      <c r="G21" s="10" t="inlineStr">
        <is>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is>
      </c>
      <c r="H21" s="11" t="inlineStr">
        <is>
          <t>—</t>
        </is>
      </c>
      <c r="I21" s="11" t="inlineStr">
        <is>
          <t>Robert</t>
        </is>
      </c>
      <c r="J21" s="11" t="inlineStr">
        <is>
          <t>—</t>
        </is>
      </c>
      <c r="K21" s="12" t="inlineStr">
        <is>
          <t>DECIDED</t>
        </is>
      </c>
    </row>
    <row r="22" ht="72" customHeight="1">
      <c r="B22" s="8" t="inlineStr">
        <is>
          <t>DEC-018</t>
        </is>
      </c>
      <c r="C22" s="9">
        <f>DATE(2026,10,11)</f>
        <v/>
      </c>
      <c r="D22" s="8" t="inlineStr">
        <is>
          <t>Authenticate with local email-and-password accounts and an opaque server-side session. Passwords hashed with scrypt (N=2^15, r=8, p=3, maxmem 64 MiB) in a self-describing string. 32-byte session identifier, only its SHA-256 stored, in a `sessions` collection; cookie __Host-sid (HttpOnly, Secure, SameSite=Lax). New identifier on every login. Idle expiry: refused 30 min after lastSeenAt, refreshed at most once per 60 s (expires 29–30 min after the last request, never valid after 30). No absolute lifetime. Session middleware only resolves req.actor; only the guard returns 401/403. POST /api/v1/sessions, DELETE /api/v1/sessions/current (public, idempotent), GET /api/v1/health. Auth events to auditLog (origin 'auth', M-1). First Administrator by an interactive script; no HTTP bootstrap, no default credential</t>
        </is>
      </c>
      <c r="E22" s="10" t="inlineStr">
        <is>
          <t>Campus single sign-on; stateless JWT; express-session with connect-mongo; argon2id; bcrypt; middleware that returns 401 itself; an absolute session lifetime; login throttling or lockout</t>
        </is>
      </c>
      <c r="F22" s="10" t="inlineStr">
        <is>
          <t>Closes the forward item in DEC-015 §5. SSO conflicts with NFR-1.3/SCP-016 and depends on the institution (CON-008). JWT cannot meet AC-FR-1.4 'existing sessions are terminated' without a server-side deny-list. scrypt is built into Node, so no native dependency (CON-003, CON-008), and is an OWASP-listed alternative. An own repository makes the FR-1.4 epoch check and the NFR-3.4 idle check explicit code that can be negative-verified. No absolute lifetime and no throttling threshold, because the record states neither and choosing one would invent a value. Full record: docs/decisions/ADR/DEC-018_Authentication_and_Sessions_v0.1.md</t>
        </is>
      </c>
      <c r="G22" s="10" t="inlineStr">
        <is>
          <t>DB-01 v0.3 adds `sessions` (§3.9) and corrects the passwordHash annotation. DEC-003 v0.2 adds CRUD on `sessions` to the civicconnect-app role, with the requestHistory/auditLog grants unchanged. AC-FR-1.4 and AC-NFR-1.4 only partly met in M3 Phase 0. RSK-021 raised (no throttling). TD-002 records the unimplemented FR-1.6 union. Hash timing measured on a development machine only: median 293 ms (Node 22.20.0, i7-1360P)</t>
        </is>
      </c>
      <c r="H22" s="11" t="inlineStr">
        <is>
          <t>VPS hash timing (DEC-018 evidence item 1); smoke check against the test cluster; Atlas role verification when DB-01 layer 3 is built</t>
        </is>
      </c>
      <c r="I22" s="11" t="inlineStr">
        <is>
          <t>Ethan</t>
        </is>
      </c>
      <c r="J22" s="11" t="inlineStr">
        <is>
          <t>—</t>
        </is>
      </c>
      <c r="K22" s="12" t="inlineStr">
        <is>
          <t>DECIDED</t>
        </is>
      </c>
    </row>
  </sheetData>
  <mergeCells count="7">
    <mergeCell ref="B1:K1"/>
    <mergeCell ref="N7:O7"/>
    <mergeCell ref="N6:O6"/>
    <mergeCell ref="B2:K2"/>
    <mergeCell ref="N4:P4"/>
    <mergeCell ref="N5:O5"/>
    <mergeCell ref="N8:O8"/>
  </mergeCells>
  <conditionalFormatting sqref="C5:C13">
    <cfRule type="cellIs" priority="22" operator="equal" dxfId="2">
      <formula>"—"</formula>
    </cfRule>
  </conditionalFormatting>
  <conditionalFormatting sqref="C15">
    <cfRule type="cellIs" priority="19" operator="equal" dxfId="2">
      <formula>"—"</formula>
    </cfRule>
  </conditionalFormatting>
  <conditionalFormatting sqref="C17:C21">
    <cfRule type="cellIs" priority="1" operator="equal" dxfId="2">
      <formula>"—"</formula>
    </cfRule>
  </conditionalFormatting>
  <conditionalFormatting sqref="H5">
    <cfRule type="cellIs" priority="2" operator="equal" dxfId="2">
      <formula>"—"</formula>
    </cfRule>
  </conditionalFormatting>
  <conditionalFormatting sqref="H7">
    <cfRule type="cellIs" priority="3" operator="equal" dxfId="2">
      <formula>"—"</formula>
    </cfRule>
  </conditionalFormatting>
  <conditionalFormatting sqref="H9">
    <cfRule type="cellIs" priority="4" operator="equal" dxfId="2">
      <formula>"—"</formula>
    </cfRule>
  </conditionalFormatting>
  <conditionalFormatting sqref="H11">
    <cfRule type="cellIs" priority="5" operator="equal" dxfId="2">
      <formula>"—"</formula>
    </cfRule>
  </conditionalFormatting>
  <conditionalFormatting sqref="H16">
    <cfRule type="cellIs" priority="7" operator="equal" dxfId="2">
      <formula>"—"</formula>
    </cfRule>
  </conditionalFormatting>
  <conditionalFormatting sqref="J5">
    <cfRule type="cellIs" priority="12" operator="equal" dxfId="2">
      <formula>"—"</formula>
    </cfRule>
  </conditionalFormatting>
  <conditionalFormatting sqref="J11">
    <cfRule type="cellIs" priority="11" operator="equal" dxfId="2">
      <formula>"—"</formula>
    </cfRule>
  </conditionalFormatting>
  <conditionalFormatting sqref="J14">
    <cfRule type="cellIs" priority="9" operator="equal" dxfId="2">
      <formula>"—"</formula>
    </cfRule>
  </conditionalFormatting>
  <conditionalFormatting sqref="J16">
    <cfRule type="cellIs" priority="8" operator="equal" dxfId="2">
      <formula>"—"</formula>
    </cfRule>
  </conditionalFormatting>
  <conditionalFormatting sqref="K5:K22">
    <cfRule type="containsText" priority="23" operator="containsText" dxfId="1" text="DECIDED">
      <formula>NOT(ISERROR(SEARCH("DECIDED",K5)))</formula>
    </cfRule>
    <cfRule type="containsText" priority="24" operator="containsText" dxfId="0"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2026-09-08T21:28:48Z</dcterms:created>
  <dcterms:modified xsi:type="dcterms:W3CDTF">2026-10-11T15:21:10Z</dcterms:modified>
  <cp:lastModifiedBy>Christiaan Burger</cp:lastModifiedBy>
</cp:coreProperties>
</file>