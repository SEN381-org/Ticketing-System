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c906530d9ff38bc/Desktop/SEN381/Ticketing-System/docs/decisions/"/>
    </mc:Choice>
  </mc:AlternateContent>
  <xr:revisionPtr revIDLastSave="77" documentId="8_{DA8A1402-F87E-4E16-A5E2-7754A6675A1C}" xr6:coauthVersionLast="47" xr6:coauthVersionMax="47" xr10:uidLastSave="{8987719A-D64D-4BE5-9A31-B9BA4F7DFB4F}"/>
  <bookViews>
    <workbookView xWindow="-108" yWindow="-108" windowWidth="30936" windowHeight="17496" xr2:uid="{C10860F7-7028-4DF0-9A0A-0CD539FC6C60}"/>
  </bookViews>
  <sheets>
    <sheet name="Decision Lo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5" i="1" l="1"/>
  <c r="N6" i="1"/>
  <c r="N7" i="1"/>
  <c r="C12" i="1"/>
  <c r="C11" i="1"/>
  <c r="C10" i="1"/>
  <c r="C9" i="1"/>
  <c r="C8" i="1"/>
  <c r="C7" i="1"/>
  <c r="C6" i="1"/>
  <c r="C5" i="1"/>
</calcChain>
</file>

<file path=xl/sharedStrings.xml><?xml version="1.0" encoding="utf-8"?>
<sst xmlns="http://schemas.openxmlformats.org/spreadsheetml/2006/main" count="79" uniqueCount="62">
  <si>
    <t>Decision Log</t>
  </si>
  <si>
    <t>Decisions and deferments taken during M1, the alternatives weighed, and what each one commits or blocks downstream</t>
  </si>
  <si>
    <t>ID</t>
  </si>
  <si>
    <t>Date</t>
  </si>
  <si>
    <t>Decision or deferment</t>
  </si>
  <si>
    <t>Alternatives considered</t>
  </si>
  <si>
    <t>Rationale</t>
  </si>
  <si>
    <t>Consequences / downstream impact</t>
  </si>
  <si>
    <t>Evidence still required (if deferred)</t>
  </si>
  <si>
    <t>Owner</t>
  </si>
  <si>
    <t>Status</t>
  </si>
  <si>
    <t>DEC-001</t>
  </si>
  <si>
    <t>Scope CivicConnect to a campus / educational institution context</t>
  </si>
  <si>
    <t>Municipality or local government; community NGO; residential estate</t>
  </si>
  <si>
    <t>The Master Brief does not name the client organisation. The request types listed in s.2 (facility faults, IT support, lost property, security concerns) correspond to an institutional campus. A recorded assumption is preferable to proceeding with an ambiguous stakeholder set.</t>
  </si>
  <si>
    <t>Determines the entire stakeholder register and the applicability of POPIA (CON-007). If the assumption is wrong, STK-001 to STK-009 and every derived requirement must be revisited.</t>
  </si>
  <si>
    <t>—</t>
  </si>
  <si>
    <t>DECIDED</t>
  </si>
  <si>
    <t>DEC-002</t>
  </si>
  <si>
    <t>Defer selection of the technology stack</t>
  </si>
  <si>
    <t>Commit now to a familiar stack; commit now to a stack chosen for requirement fit</t>
  </si>
  <si>
    <t>M1 is explicitly not a technology-selection milestone. The requirements baseline is not yet complete, so no evidence currently distinguishes the alternatives.</t>
  </si>
  <si>
    <t>Preserves M2 options. Creates a dependency: the M2 decision must satisfy CON-004 (team capability) and CON-008 (institutional environment availability) as well as requirement fit.</t>
  </si>
  <si>
    <t>Completed FR/NFR baseline; verification that candidate stacks are available on the BC Desktop platform</t>
  </si>
  <si>
    <t>DEFERRED</t>
  </si>
  <si>
    <t>DEC-003</t>
  </si>
  <si>
    <t>Defer selection of the hosting and deployment platform</t>
  </si>
  <si>
    <t>Commit to a free-tier platform now; commit to a paid platform now</t>
  </si>
  <si>
    <t>The cost constraint (CON-003) favours a free tier, but free tiers commonly omit audit log retention, backups and private networking, which CON-006 and CON-007 require. The decision cannot be made on price alone and no platform research evidence exists yet.</t>
  </si>
  <si>
    <t>Blocks SCP-014 and SCP-015, both of which depend on platform capability and cost. Must be resolved before the M2 architecture is finalised.</t>
  </si>
  <si>
    <t>Documented free-tier limits for candidate platforms, covering audit log retention, backup and likely operational cost beyond the educational context</t>
  </si>
  <si>
    <t>DEC-004</t>
  </si>
  <si>
    <t>Treat role-based access control as an architecturally significant requirement</t>
  </si>
  <si>
    <t>Handle authorisation as an application-level concern during construction; use a single shared staff view</t>
  </si>
  <si>
    <t>The CFL-002 resolution restricts security-request visibility by role. Authorisation applied late cannot be retrofitted cleanly across every view and transition, and CON-006 requires it to be addressed from requirements onward.</t>
  </si>
  <si>
    <t>Constrains the M2 architecture and data model. Adds verification obligations in M3 under CON-005.</t>
  </si>
  <si>
    <t>DEC-005</t>
  </si>
  <si>
    <t>Defer the personal-information retention period</t>
  </si>
  <si>
    <t>Retain indefinitely; adopt an arbitrary fixed period</t>
  </si>
  <si>
    <t>CFL-004 is unresolved. The lawful period depends on guidance from STK-009 that the team does not yet have, and an arbitrary figure would be an unverified claim under CON-007.</t>
  </si>
  <si>
    <t>SCP-020 (automated retention enforcement) is deferred as a consequence. Affects the M2 data model, since aggregated statistics must survive deletion of identifiable data.</t>
  </si>
  <si>
    <t>Retention guidance from the information officer, or a documented institutional retention standard</t>
  </si>
  <si>
    <t>DEC-006</t>
  </si>
  <si>
    <t>Limit mandatory capture fields at submission to category, location and description</t>
  </si>
  <si>
    <t>Capture full structured detail at submission; make all detail optional</t>
  </si>
  <si>
    <t>Resolution of CFL-001. Minimal mandatory capture protects submission speed for STK-001; category remains mandatory because the SCP-011 reporting depends on it.</t>
  </si>
  <si>
    <t>Reporting richness for STK-005 depends on post-submission detail being supplied. If uptake is poor, this decision may need revisiting through change control.</t>
  </si>
  <si>
    <t>DEC-007</t>
  </si>
  <si>
    <t>Exclude a native mobile application from the committed scope</t>
  </si>
  <si>
    <t>Native mobile in addition to web; native mobile instead of web</t>
  </si>
  <si>
    <t>A responsive web interface meets the access need within CON-002 and CON-004. A second build and release path is not supportable by three part-time students within the delivery period.</t>
  </si>
  <si>
    <t>Places a usability obligation on the web interface for mobile viewports, which becomes a quality attribute for Member B to specify measurably under CON-005.</t>
  </si>
  <si>
    <t>Decision status</t>
  </si>
  <si>
    <t>Decided</t>
  </si>
  <si>
    <t>Deferred — evidence outstanding</t>
  </si>
  <si>
    <t>Total logged</t>
  </si>
  <si>
    <t>DEC-008</t>
  </si>
  <si>
    <t>Adopt a two-stage protected branching model: feature branches merge to dev, dev merges to main only at a release or baseline point. Both branches protected with two required approvals.</t>
  </si>
  <si>
    <t>Trunk-based development with feature branches directly to a single protected main; full GitFlow with release and hotfix branches</t>
  </si>
  <si>
    <t>Keeps main as a clean controlled product state matching Master Brief s.9, while allowing integration work to accumulate in dev without repeatedly disturbing the controlled baseline. Full GitFlow adds release and hotfix branches that three students on a single delivery stream do not need.</t>
  </si>
  <si>
    <t>Every substantive change requires two approvals at two merge points, so integration is slower and both teammates gate every change. main will lag dev, so baseline evidence must be explicitly merged and tagged at each milestone rather than assumed present.</t>
  </si>
  <si>
    <t>Ethan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</si>
</sst>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20"/>
      <color rgb="FF0F4761"/>
      <name val="Aptos Narrow"/>
      <family val="2"/>
      <scheme val="minor"/>
    </font>
    <font>
      <i/>
      <sz val="11"/>
      <color rgb="FF595959"/>
      <name val="Aptos Narrow"/>
      <family val="2"/>
      <scheme val="minor"/>
    </font>
    <font>
      <b/>
      <sz val="11"/>
      <color rgb="FFFFFFFF"/>
      <name val="Aptos Narrow"/>
      <family val="2"/>
      <scheme val="minor"/>
    </font>
    <font>
      <b/>
      <sz val="10.5"/>
      <color rgb="FF000000"/>
      <name val="Aptos Narrow"/>
      <family val="2"/>
      <scheme val="minor"/>
    </font>
    <font>
      <sz val="10.5"/>
      <color rgb="FF000000"/>
      <name val="Aptos Narrow"/>
      <family val="2"/>
      <scheme val="minor"/>
    </font>
    <font>
      <b/>
      <sz val="12"/>
      <color rgb="FF0F4761"/>
      <name val="Aptos Narrow"/>
      <family val="2"/>
      <scheme val="minor"/>
    </font>
    <font>
      <sz val="8"/>
      <name val="Aptos Narrow"/>
      <family val="2"/>
      <scheme val="minor"/>
    </font>
  </fonts>
  <fills count="5">
    <fill>
      <patternFill patternType="none"/>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4" fillId="2" borderId="1" xfId="0" applyFont="1" applyFill="1" applyBorder="1" applyAlignment="1">
      <alignment horizontal="left" vertical="center" wrapText="1" indent="1"/>
    </xf>
    <xf numFmtId="0" fontId="4" fillId="2" borderId="1" xfId="0" applyFont="1" applyFill="1" applyBorder="1" applyAlignment="1">
      <alignment horizontal="center" vertical="center" wrapText="1" indent="1"/>
    </xf>
    <xf numFmtId="0" fontId="5" fillId="0" borderId="1" xfId="0" applyFont="1" applyBorder="1" applyAlignment="1">
      <alignment vertical="center" wrapText="1" indent="1"/>
    </xf>
    <xf numFmtId="14" fontId="6" fillId="0" borderId="1" xfId="0" applyNumberFormat="1" applyFont="1" applyBorder="1" applyAlignment="1">
      <alignment horizontal="center" vertical="center" wrapText="1"/>
    </xf>
    <xf numFmtId="0" fontId="6" fillId="0" borderId="1" xfId="0" applyFont="1" applyBorder="1" applyAlignment="1">
      <alignment vertical="center" wrapText="1" inden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vertical="center" wrapText="1" indent="1"/>
    </xf>
    <xf numFmtId="14" fontId="6" fillId="3" borderId="1" xfId="0" applyNumberFormat="1" applyFont="1" applyFill="1" applyBorder="1" applyAlignment="1">
      <alignment horizontal="center" vertical="center" wrapText="1"/>
    </xf>
    <xf numFmtId="0" fontId="6" fillId="3" borderId="1" xfId="0" applyFont="1" applyFill="1" applyBorder="1" applyAlignment="1">
      <alignment vertical="center" wrapText="1" inden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indent="1"/>
    </xf>
    <xf numFmtId="0" fontId="7" fillId="0" borderId="1" xfId="0" applyFont="1" applyBorder="1" applyAlignment="1">
      <alignment horizontal="center" vertical="center"/>
    </xf>
    <xf numFmtId="0" fontId="2"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0" fillId="3" borderId="1" xfId="0" applyFill="1" applyBorder="1" applyAlignment="1">
      <alignment horizontal="left" vertical="center" indent="1"/>
    </xf>
  </cellXfs>
  <cellStyles count="1">
    <cellStyle name="Normal" xfId="0" builtinId="0"/>
  </cellStyles>
  <dxfs count="5">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
      <font>
        <color rgb="FFA6A6A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17EC7-5E25-4DAF-A0FC-95E5CA365EC5}">
  <dimension ref="B1:N12"/>
  <sheetViews>
    <sheetView tabSelected="1" zoomScale="70" zoomScaleNormal="70" workbookViewId="0">
      <selection activeCell="E23" sqref="E23:F23"/>
    </sheetView>
  </sheetViews>
  <sheetFormatPr defaultRowHeight="14.4" x14ac:dyDescent="0.3"/>
  <cols>
    <col min="1" max="1" width="2.21875" customWidth="1"/>
    <col min="2" max="2" width="18.109375" customWidth="1"/>
    <col min="3" max="3" width="30.21875" bestFit="1" customWidth="1"/>
    <col min="4" max="4" width="37" customWidth="1"/>
    <col min="5" max="5" width="38.88671875" customWidth="1"/>
    <col min="6" max="6" width="64.88671875" customWidth="1"/>
    <col min="7" max="7" width="53.6640625" customWidth="1"/>
    <col min="8" max="8" width="44.44140625" customWidth="1"/>
    <col min="9" max="9" width="11.109375" customWidth="1"/>
    <col min="10" max="10" width="18.5546875" customWidth="1"/>
    <col min="12" max="12" width="24" customWidth="1"/>
    <col min="14" max="14" width="31.109375" customWidth="1"/>
  </cols>
  <sheetData>
    <row r="1" spans="2:14" ht="30" customHeight="1" x14ac:dyDescent="0.3">
      <c r="B1" s="17" t="s">
        <v>0</v>
      </c>
      <c r="C1" s="18"/>
      <c r="D1" s="18"/>
      <c r="E1" s="18"/>
      <c r="F1" s="18"/>
      <c r="G1" s="18"/>
      <c r="H1" s="18"/>
      <c r="I1" s="18"/>
      <c r="J1" s="18"/>
    </row>
    <row r="2" spans="2:14" x14ac:dyDescent="0.3">
      <c r="B2" s="19" t="s">
        <v>1</v>
      </c>
      <c r="C2" s="18"/>
      <c r="D2" s="18"/>
      <c r="E2" s="18"/>
      <c r="F2" s="18"/>
      <c r="G2" s="18"/>
      <c r="H2" s="18"/>
      <c r="I2" s="18"/>
      <c r="J2" s="18"/>
    </row>
    <row r="4" spans="2:14" ht="36" customHeight="1" x14ac:dyDescent="0.3">
      <c r="B4" s="1" t="s">
        <v>2</v>
      </c>
      <c r="C4" s="2" t="s">
        <v>3</v>
      </c>
      <c r="D4" s="1" t="s">
        <v>4</v>
      </c>
      <c r="E4" s="1" t="s">
        <v>5</v>
      </c>
      <c r="F4" s="1" t="s">
        <v>6</v>
      </c>
      <c r="G4" s="1" t="s">
        <v>7</v>
      </c>
      <c r="H4" s="1" t="s">
        <v>8</v>
      </c>
      <c r="I4" s="2" t="s">
        <v>9</v>
      </c>
      <c r="J4" s="2" t="s">
        <v>10</v>
      </c>
      <c r="L4" s="16" t="s">
        <v>52</v>
      </c>
      <c r="M4" s="16"/>
      <c r="N4" s="16"/>
    </row>
    <row r="5" spans="2:14" ht="90" customHeight="1" x14ac:dyDescent="0.3">
      <c r="B5" s="3" t="s">
        <v>11</v>
      </c>
      <c r="C5" s="4">
        <f t="shared" ref="C5:C11" si="0">DATE(2026,9,6)</f>
        <v>46271</v>
      </c>
      <c r="D5" s="3" t="s">
        <v>12</v>
      </c>
      <c r="E5" s="5" t="s">
        <v>13</v>
      </c>
      <c r="F5" s="5" t="s">
        <v>14</v>
      </c>
      <c r="G5" s="5" t="s">
        <v>15</v>
      </c>
      <c r="H5" s="5" t="s">
        <v>16</v>
      </c>
      <c r="I5" s="6" t="s">
        <v>61</v>
      </c>
      <c r="J5" s="7" t="s">
        <v>17</v>
      </c>
      <c r="L5" s="20" t="s">
        <v>53</v>
      </c>
      <c r="M5" s="20"/>
      <c r="N5" s="13">
        <f>COUNTIF($J$5:$J$149,"DECIDED")</f>
        <v>5</v>
      </c>
    </row>
    <row r="6" spans="2:14" ht="43.2" x14ac:dyDescent="0.3">
      <c r="B6" s="8" t="s">
        <v>18</v>
      </c>
      <c r="C6" s="9">
        <f t="shared" si="0"/>
        <v>46271</v>
      </c>
      <c r="D6" s="8" t="s">
        <v>19</v>
      </c>
      <c r="E6" s="10" t="s">
        <v>20</v>
      </c>
      <c r="F6" s="10" t="s">
        <v>21</v>
      </c>
      <c r="G6" s="10" t="s">
        <v>22</v>
      </c>
      <c r="H6" s="10" t="s">
        <v>23</v>
      </c>
      <c r="I6" s="11" t="s">
        <v>61</v>
      </c>
      <c r="J6" s="12" t="s">
        <v>24</v>
      </c>
      <c r="L6" s="20" t="s">
        <v>54</v>
      </c>
      <c r="M6" s="20"/>
      <c r="N6" s="13">
        <f>COUNTIF($J$5:$J$12,"DEFERRED")</f>
        <v>3</v>
      </c>
    </row>
    <row r="7" spans="2:14" ht="57.6" x14ac:dyDescent="0.3">
      <c r="B7" s="3" t="s">
        <v>25</v>
      </c>
      <c r="C7" s="4">
        <f t="shared" si="0"/>
        <v>46271</v>
      </c>
      <c r="D7" s="3" t="s">
        <v>26</v>
      </c>
      <c r="E7" s="5" t="s">
        <v>27</v>
      </c>
      <c r="F7" s="5" t="s">
        <v>28</v>
      </c>
      <c r="G7" s="5" t="s">
        <v>29</v>
      </c>
      <c r="H7" s="5" t="s">
        <v>30</v>
      </c>
      <c r="I7" s="6" t="s">
        <v>61</v>
      </c>
      <c r="J7" s="7" t="s">
        <v>24</v>
      </c>
      <c r="L7" s="15" t="s">
        <v>55</v>
      </c>
      <c r="M7" s="15"/>
      <c r="N7" s="14">
        <f>COUNTA($B$5:$B$147)</f>
        <v>8</v>
      </c>
    </row>
    <row r="8" spans="2:14" ht="57.6" x14ac:dyDescent="0.3">
      <c r="B8" s="8" t="s">
        <v>31</v>
      </c>
      <c r="C8" s="9">
        <f t="shared" si="0"/>
        <v>46271</v>
      </c>
      <c r="D8" s="8" t="s">
        <v>32</v>
      </c>
      <c r="E8" s="10" t="s">
        <v>33</v>
      </c>
      <c r="F8" s="10" t="s">
        <v>34</v>
      </c>
      <c r="G8" s="10" t="s">
        <v>35</v>
      </c>
      <c r="H8" s="10" t="s">
        <v>16</v>
      </c>
      <c r="I8" s="11" t="s">
        <v>61</v>
      </c>
      <c r="J8" s="12" t="s">
        <v>17</v>
      </c>
    </row>
    <row r="9" spans="2:14" ht="43.2" x14ac:dyDescent="0.3">
      <c r="B9" s="3" t="s">
        <v>36</v>
      </c>
      <c r="C9" s="4">
        <f t="shared" si="0"/>
        <v>46271</v>
      </c>
      <c r="D9" s="3" t="s">
        <v>37</v>
      </c>
      <c r="E9" s="5" t="s">
        <v>38</v>
      </c>
      <c r="F9" s="5" t="s">
        <v>39</v>
      </c>
      <c r="G9" s="5" t="s">
        <v>40</v>
      </c>
      <c r="H9" s="5" t="s">
        <v>41</v>
      </c>
      <c r="I9" s="6" t="s">
        <v>61</v>
      </c>
      <c r="J9" s="7" t="s">
        <v>24</v>
      </c>
    </row>
    <row r="10" spans="2:14" ht="43.2" x14ac:dyDescent="0.3">
      <c r="B10" s="8" t="s">
        <v>42</v>
      </c>
      <c r="C10" s="9">
        <f t="shared" si="0"/>
        <v>46271</v>
      </c>
      <c r="D10" s="8" t="s">
        <v>43</v>
      </c>
      <c r="E10" s="10" t="s">
        <v>44</v>
      </c>
      <c r="F10" s="10" t="s">
        <v>45</v>
      </c>
      <c r="G10" s="10" t="s">
        <v>46</v>
      </c>
      <c r="H10" s="10" t="s">
        <v>16</v>
      </c>
      <c r="I10" s="11" t="s">
        <v>61</v>
      </c>
      <c r="J10" s="12" t="s">
        <v>17</v>
      </c>
    </row>
    <row r="11" spans="2:14" ht="43.2" x14ac:dyDescent="0.3">
      <c r="B11" s="3" t="s">
        <v>47</v>
      </c>
      <c r="C11" s="4">
        <f t="shared" si="0"/>
        <v>46271</v>
      </c>
      <c r="D11" s="3" t="s">
        <v>48</v>
      </c>
      <c r="E11" s="5" t="s">
        <v>49</v>
      </c>
      <c r="F11" s="5" t="s">
        <v>50</v>
      </c>
      <c r="G11" s="5" t="s">
        <v>51</v>
      </c>
      <c r="H11" s="5" t="s">
        <v>16</v>
      </c>
      <c r="I11" s="6" t="s">
        <v>61</v>
      </c>
      <c r="J11" s="7" t="s">
        <v>17</v>
      </c>
    </row>
    <row r="12" spans="2:14" ht="72" x14ac:dyDescent="0.3">
      <c r="B12" s="8" t="s">
        <v>56</v>
      </c>
      <c r="C12" s="9">
        <f>DATE(2026,9,8)</f>
        <v>46273</v>
      </c>
      <c r="D12" s="8" t="s">
        <v>57</v>
      </c>
      <c r="E12" s="10" t="s">
        <v>58</v>
      </c>
      <c r="F12" s="10" t="s">
        <v>59</v>
      </c>
      <c r="G12" s="10" t="s">
        <v>60</v>
      </c>
      <c r="H12" s="10" t="s">
        <v>16</v>
      </c>
      <c r="I12" s="11" t="s">
        <v>61</v>
      </c>
      <c r="J12" s="12" t="s">
        <v>17</v>
      </c>
    </row>
  </sheetData>
  <mergeCells count="6">
    <mergeCell ref="L7:M7"/>
    <mergeCell ref="L4:N4"/>
    <mergeCell ref="B1:J1"/>
    <mergeCell ref="B2:J2"/>
    <mergeCell ref="L5:M5"/>
    <mergeCell ref="L6:M6"/>
  </mergeCells>
  <phoneticPr fontId="8" type="noConversion"/>
  <conditionalFormatting sqref="C5:C12">
    <cfRule type="cellIs" dxfId="4" priority="5" operator="equal">
      <formula>"—"</formula>
    </cfRule>
  </conditionalFormatting>
  <conditionalFormatting sqref="H5:H12">
    <cfRule type="cellIs" dxfId="2" priority="4" operator="equal">
      <formula>"—"</formula>
    </cfRule>
  </conditionalFormatting>
  <conditionalFormatting sqref="J5:J12">
    <cfRule type="containsText" dxfId="1" priority="2" operator="containsText" text="DECIDED">
      <formula>NOT(ISERROR(SEARCH("DECIDED",J5)))</formula>
    </cfRule>
    <cfRule type="containsText" dxfId="0" priority="3" operator="containsText" text="DEFERRED">
      <formula>NOT(ISERROR(SEARCH("DEFERRED",J5)))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Decision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2026-09-08T21:28:48Z</dcterms:created>
  <dcterms:modified xsi:type="dcterms:W3CDTF">2026-09-09T16:24:20Z</dcterms:modified>
</cp:coreProperties>
</file>