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decisions/Decision Log/"/>
    </mc:Choice>
  </mc:AlternateContent>
  <xr:revisionPtr revIDLastSave="190" documentId="8_{DA8A1402-F87E-4E16-A5E2-7754A6675A1C}" xr6:coauthVersionLast="47" xr6:coauthVersionMax="47" xr10:uidLastSave="{28CFAFCC-9FA5-4235-81C6-ED60D614EA54}"/>
  <bookViews>
    <workbookView xWindow="-96" yWindow="-96" windowWidth="30912" windowHeight="17472" xr2:uid="{C10860F7-7028-4DF0-9A0A-0CD539FC6C60}"/>
  </bookViews>
  <sheets>
    <sheet name="Decis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6" i="1" l="1"/>
  <c r="P8" i="1" s="1"/>
  <c r="P7" i="1"/>
  <c r="P5" i="1"/>
  <c r="C15" i="1"/>
  <c r="C9" i="1"/>
  <c r="C7" i="1"/>
  <c r="C6" i="1"/>
  <c r="C14" i="1"/>
  <c r="C12" i="1"/>
  <c r="C11" i="1"/>
  <c r="C10" i="1"/>
  <c r="C8" i="1"/>
  <c r="C5" i="1"/>
</calcChain>
</file>

<file path=xl/sharedStrings.xml><?xml version="1.0" encoding="utf-8"?>
<sst xmlns="http://schemas.openxmlformats.org/spreadsheetml/2006/main" count="110" uniqueCount="80">
  <si>
    <t>Decision Log</t>
  </si>
  <si>
    <t>ID</t>
  </si>
  <si>
    <t>Date</t>
  </si>
  <si>
    <t>Decision or deferment</t>
  </si>
  <si>
    <t>Alternatives considered</t>
  </si>
  <si>
    <t>Rationale</t>
  </si>
  <si>
    <t>Consequences / downstream impact</t>
  </si>
  <si>
    <t>Evidence still required (if deferred)</t>
  </si>
  <si>
    <t>Owner</t>
  </si>
  <si>
    <t>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</si>
  <si>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</si>
  <si>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</si>
  <si>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</si>
  <si>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</si>
  <si>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</si>
  <si>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</si>
  <si>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DECIDED</t>
  </si>
  <si>
    <t>DEC-002</t>
  </si>
  <si>
    <t>DEC-003</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</si>
  <si>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</si>
  <si>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</si>
  <si>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</si>
  <si>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</si>
  <si>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</si>
  <si>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DEC-005</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</si>
  <si>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</si>
  <si>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</si>
  <si>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</si>
  <si>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</si>
  <si>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</si>
  <si>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</si>
  <si>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</si>
  <si>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</si>
  <si>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</si>
  <si>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</si>
  <si>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Decision status</t>
  </si>
  <si>
    <t>Decided</t>
  </si>
  <si>
    <t>Total logged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</si>
  <si>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</si>
  <si>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</si>
  <si>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</si>
  <si>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</si>
  <si>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</si>
  <si>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Ethan</t>
  </si>
  <si>
    <t>2026/09/06  - Revised 2206/09/09</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</si>
  <si>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</si>
  <si>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</si>
  <si>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</si>
  <si>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DEC-007 (Revised)</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</si>
  <si>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</si>
  <si>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</si>
  <si>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</si>
  <si>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</si>
  <si>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</si>
  <si>
    <t>Preserved from v1.0</t>
  </si>
  <si>
    <t>Adopt a MERN stack: MongoDB, Express, React and Node.js, with MongoDB Atlas as the managed database service</t>
  </si>
  <si>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t>
  </si>
  <si>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</si>
  <si>
    <t>Defer selection of the technology stack. Evidence required at deferment: verified availability of candidate technologies in the institutional environment under CON-008. Working deadline of 22 September imposed by CON-013.</t>
  </si>
  <si>
    <t>Adopt Hostinger as the application hosting and deployment platform, with MongoDB Atlas as the managed database service</t>
  </si>
  <si>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</si>
  <si>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</si>
  <si>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</si>
  <si>
    <t>Retain identifiable personal information for one month, with aggregated statistics retained beyond that period</t>
  </si>
  <si>
    <t>Retain indefinitely; adopt a longer fixed period; continue deferring pending STK-009 guidance</t>
  </si>
  <si>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</si>
  <si>
    <t>Defer the personal-information retention period. Alternatives at deferment: retain indefinitely; adopt an arbitrary fixed period. Evidence required: retention guidance from the information officer, or a documented institutional retention standard.</t>
  </si>
  <si>
    <t>DEC-010</t>
  </si>
  <si>
    <t>Defer selection of the Atlas cluster tier, and of the mechanism by which the NFR-1.5 recovery point is met</t>
  </si>
  <si>
    <t>Remain on a free M0 cluster and meet the recovery point through scheduled mongodump; adopt the lowest paid tier that provides managed backup; amend NFR-1.5 through controlled change to state a recovery point the selected tier can evidence</t>
  </si>
  <si>
    <t>MongoDB's documentation records that backups cannot be enabled on free clusters, and recommends mongodump and mongorestore as the alternative. NFR-1.5 requires recovery to a state no more than 24 hours old following total loss of the primary data store. On a free cluster that obligation therefore rests on a scheduled dump that someone must operate and evidence, rather than on a platform capability. The choice between paying for managed backup and operating a dump schedule is a cost decision under CON-003 against a supportability decision under CON-004, and neither can be made without the cost figure.</t>
  </si>
  <si>
    <t>NFR-1.5 cannot be evidenced until this closes, and the M3 verification obligation under CON-005 depends on it. Free M0 clusters also limit total storage to 0.5 GB, which interacts with the 10 000-request volume assumed in NFR-2.2 and with the one-month retention period set in DEC-005. Whichever option is selected must be recorded against NFR-1.5's measurement basis.</t>
  </si>
  <si>
    <t>Cost of the lowest Atlas tier providing managed backup; whether a scheduled dump can meet a 24-hour recovery point within the capacity available under CON-004; STK-008's position on incurring the cost</t>
  </si>
  <si>
    <t>Deferred</t>
  </si>
  <si>
    <t>SUPERSEDED</t>
  </si>
  <si>
    <t>Superseded</t>
  </si>
  <si>
    <t>Vercel, However Hostinger offers more flexibility and customization  given we have access to the server.</t>
  </si>
  <si>
    <t>Database decision such as Postgres and MySQL which would change the backend platform.</t>
  </si>
  <si>
    <t>Decisions and deferments taken during M1 and M2, the alternatives weighed, and what each one commits or blocks downstream</t>
  </si>
  <si>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</sst>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sz val="8"/>
      <name val="Aptos Narrow"/>
      <family val="2"/>
      <scheme val="minor"/>
    </font>
    <font>
      <i/>
      <sz val="11"/>
      <color theme="1"/>
      <name val="Aptos Narrow"/>
      <family val="2"/>
      <scheme val="minor"/>
    </font>
    <font>
      <b/>
      <sz val="10.5"/>
      <color theme="5" tint="-0.499984740745262"/>
      <name val="Aptos Narrow"/>
      <family val="2"/>
      <scheme val="minor"/>
    </font>
  </fonts>
  <fills count="6">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9" fillId="0" borderId="1" xfId="0" applyFont="1" applyBorder="1" applyAlignment="1">
      <alignment wrapText="1"/>
    </xf>
    <xf numFmtId="0" fontId="6"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left" vertical="center" indent="1"/>
    </xf>
    <xf numFmtId="0" fontId="7" fillId="0" borderId="1"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0" fillId="3" borderId="1" xfId="0" applyFill="1" applyBorder="1" applyAlignment="1">
      <alignment horizontal="left" vertical="center" indent="1"/>
    </xf>
    <xf numFmtId="0" fontId="10" fillId="5" borderId="1" xfId="0" applyFont="1" applyFill="1" applyBorder="1" applyAlignment="1">
      <alignment horizontal="center" vertical="center" wrapText="1"/>
    </xf>
    <xf numFmtId="0" fontId="0" fillId="3" borderId="2" xfId="0" applyFill="1" applyBorder="1" applyAlignment="1">
      <alignment horizontal="left" vertical="center"/>
    </xf>
    <xf numFmtId="0" fontId="0" fillId="3" borderId="3" xfId="0" applyFill="1" applyBorder="1" applyAlignment="1">
      <alignment horizontal="left" vertical="center"/>
    </xf>
  </cellXfs>
  <cellStyles count="1">
    <cellStyle name="Normal" xfId="0" builtinId="0"/>
  </cellStyles>
  <dxfs count="6">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EC7-5E25-4DAF-A0FC-95E5CA365EC5}">
  <dimension ref="B1:P15"/>
  <sheetViews>
    <sheetView tabSelected="1" topLeftCell="A7" zoomScale="70" zoomScaleNormal="70" workbookViewId="0">
      <selection activeCell="G12" sqref="G12"/>
    </sheetView>
  </sheetViews>
  <sheetFormatPr defaultRowHeight="14.4" x14ac:dyDescent="0.3"/>
  <cols>
    <col min="1" max="1" width="2.21875" customWidth="1"/>
    <col min="2" max="2" width="18.109375" customWidth="1"/>
    <col min="3" max="3" width="30.21875" bestFit="1" customWidth="1"/>
    <col min="4" max="4" width="37" customWidth="1"/>
    <col min="5" max="5" width="38.88671875" customWidth="1"/>
    <col min="6" max="6" width="64.88671875" customWidth="1"/>
    <col min="7" max="7" width="53.6640625" customWidth="1"/>
    <col min="8" max="8" width="44.44140625" customWidth="1"/>
    <col min="9" max="9" width="11.109375" customWidth="1"/>
    <col min="10" max="10" width="46.21875" customWidth="1"/>
    <col min="11" max="11" width="18.5546875" customWidth="1"/>
    <col min="14" max="14" width="24" customWidth="1"/>
    <col min="16" max="16" width="31.109375" customWidth="1"/>
  </cols>
  <sheetData>
    <row r="1" spans="2:16" ht="30" customHeight="1" x14ac:dyDescent="0.3">
      <c r="B1" s="23" t="s">
        <v>0</v>
      </c>
      <c r="C1" s="24"/>
      <c r="D1" s="24"/>
      <c r="E1" s="24"/>
      <c r="F1" s="24"/>
      <c r="G1" s="24"/>
      <c r="H1" s="24"/>
      <c r="I1" s="24"/>
      <c r="J1" s="24"/>
      <c r="K1" s="24"/>
    </row>
    <row r="2" spans="2:16" x14ac:dyDescent="0.3">
      <c r="B2" s="25" t="s">
        <v>78</v>
      </c>
      <c r="C2" s="24"/>
      <c r="D2" s="24"/>
      <c r="E2" s="24"/>
      <c r="F2" s="24"/>
      <c r="G2" s="24"/>
      <c r="H2" s="24"/>
      <c r="I2" s="24"/>
      <c r="J2" s="24"/>
      <c r="K2" s="24"/>
    </row>
    <row r="4" spans="2:16" ht="36" customHeight="1" x14ac:dyDescent="0.3">
      <c r="B4" s="1" t="s">
        <v>1</v>
      </c>
      <c r="C4" s="2" t="s">
        <v>2</v>
      </c>
      <c r="D4" s="1" t="s">
        <v>3</v>
      </c>
      <c r="E4" s="1" t="s">
        <v>4</v>
      </c>
      <c r="F4" s="1" t="s">
        <v>5</v>
      </c>
      <c r="G4" s="1" t="s">
        <v>6</v>
      </c>
      <c r="H4" s="1" t="s">
        <v>7</v>
      </c>
      <c r="I4" s="2" t="s">
        <v>8</v>
      </c>
      <c r="J4" s="2" t="s">
        <v>54</v>
      </c>
      <c r="K4" s="2" t="s">
        <v>9</v>
      </c>
      <c r="N4" s="22" t="s">
        <v>35</v>
      </c>
      <c r="O4" s="22"/>
      <c r="P4" s="22"/>
    </row>
    <row r="5" spans="2:16" ht="90" customHeight="1" x14ac:dyDescent="0.3">
      <c r="B5" s="3" t="s">
        <v>10</v>
      </c>
      <c r="C5" s="4">
        <f t="shared" ref="C5:C11" si="0">DATE(2026,9,6)</f>
        <v>46271</v>
      </c>
      <c r="D5" s="3" t="s">
        <v>11</v>
      </c>
      <c r="E5" s="5" t="s">
        <v>12</v>
      </c>
      <c r="F5" s="5" t="s">
        <v>13</v>
      </c>
      <c r="G5" s="5" t="s">
        <v>14</v>
      </c>
      <c r="H5" s="5" t="s">
        <v>15</v>
      </c>
      <c r="I5" s="6" t="s">
        <v>43</v>
      </c>
      <c r="J5" s="17"/>
      <c r="K5" s="7" t="s">
        <v>16</v>
      </c>
      <c r="N5" s="26" t="s">
        <v>36</v>
      </c>
      <c r="O5" s="26"/>
      <c r="P5" s="13">
        <f>COUNTIF($K$5:$K$151,"DECIDED")</f>
        <v>9</v>
      </c>
    </row>
    <row r="6" spans="2:16" ht="201.6" x14ac:dyDescent="0.3">
      <c r="B6" s="8" t="s">
        <v>17</v>
      </c>
      <c r="C6" s="9">
        <f>DATE(2026,9,29)</f>
        <v>46294</v>
      </c>
      <c r="D6" s="8" t="s">
        <v>55</v>
      </c>
      <c r="E6" s="10" t="s">
        <v>77</v>
      </c>
      <c r="F6" s="10" t="s">
        <v>56</v>
      </c>
      <c r="G6" s="10" t="s">
        <v>57</v>
      </c>
      <c r="H6" s="10" t="s">
        <v>15</v>
      </c>
      <c r="I6" s="11" t="s">
        <v>43</v>
      </c>
      <c r="J6" s="11" t="s">
        <v>58</v>
      </c>
      <c r="K6" s="7" t="s">
        <v>16</v>
      </c>
      <c r="N6" s="26" t="s">
        <v>73</v>
      </c>
      <c r="O6" s="26"/>
      <c r="P6" s="13">
        <f>COUNTIF($K$5:$K$15,"DEFERRED")</f>
        <v>1</v>
      </c>
    </row>
    <row r="7" spans="2:16" ht="201.6" x14ac:dyDescent="0.3">
      <c r="B7" s="3" t="s">
        <v>18</v>
      </c>
      <c r="C7" s="4">
        <f>DATE(2026,9,29)</f>
        <v>46294</v>
      </c>
      <c r="D7" s="3" t="s">
        <v>59</v>
      </c>
      <c r="E7" s="5" t="s">
        <v>76</v>
      </c>
      <c r="F7" s="5" t="s">
        <v>60</v>
      </c>
      <c r="G7" s="5" t="s">
        <v>61</v>
      </c>
      <c r="H7" s="5" t="s">
        <v>15</v>
      </c>
      <c r="I7" s="6" t="s">
        <v>43</v>
      </c>
      <c r="J7" s="6" t="s">
        <v>62</v>
      </c>
      <c r="K7" s="7" t="s">
        <v>16</v>
      </c>
      <c r="N7" s="28" t="s">
        <v>75</v>
      </c>
      <c r="O7" s="29"/>
      <c r="P7" s="13">
        <f>COUNTIF($K$5:$K$12,"SUPERSEDED")</f>
        <v>1</v>
      </c>
    </row>
    <row r="8" spans="2:16" ht="57.6" x14ac:dyDescent="0.3">
      <c r="B8" s="8" t="s">
        <v>19</v>
      </c>
      <c r="C8" s="9">
        <f t="shared" si="0"/>
        <v>46271</v>
      </c>
      <c r="D8" s="8" t="s">
        <v>20</v>
      </c>
      <c r="E8" s="10" t="s">
        <v>21</v>
      </c>
      <c r="F8" s="10" t="s">
        <v>22</v>
      </c>
      <c r="G8" s="10" t="s">
        <v>23</v>
      </c>
      <c r="H8" s="10" t="s">
        <v>15</v>
      </c>
      <c r="I8" s="11" t="s">
        <v>43</v>
      </c>
      <c r="J8" s="11"/>
      <c r="K8" s="12" t="s">
        <v>16</v>
      </c>
      <c r="N8" s="21" t="s">
        <v>37</v>
      </c>
      <c r="O8" s="21"/>
      <c r="P8" s="14">
        <f>SUM(P5:P7)</f>
        <v>11</v>
      </c>
    </row>
    <row r="9" spans="2:16" ht="158.4" x14ac:dyDescent="0.3">
      <c r="B9" s="3" t="s">
        <v>24</v>
      </c>
      <c r="C9" s="4">
        <f>DATE(2026,9,29)</f>
        <v>46294</v>
      </c>
      <c r="D9" s="3" t="s">
        <v>63</v>
      </c>
      <c r="E9" s="5" t="s">
        <v>64</v>
      </c>
      <c r="F9" s="5" t="s">
        <v>79</v>
      </c>
      <c r="G9" s="5" t="s">
        <v>65</v>
      </c>
      <c r="H9" s="5" t="s">
        <v>15</v>
      </c>
      <c r="I9" s="6" t="s">
        <v>43</v>
      </c>
      <c r="J9" s="6" t="s">
        <v>66</v>
      </c>
      <c r="K9" s="12" t="s">
        <v>16</v>
      </c>
    </row>
    <row r="10" spans="2:16" ht="43.2" x14ac:dyDescent="0.3">
      <c r="B10" s="8" t="s">
        <v>25</v>
      </c>
      <c r="C10" s="9">
        <f t="shared" si="0"/>
        <v>46271</v>
      </c>
      <c r="D10" s="8" t="s">
        <v>26</v>
      </c>
      <c r="E10" s="10" t="s">
        <v>27</v>
      </c>
      <c r="F10" s="10" t="s">
        <v>28</v>
      </c>
      <c r="G10" s="10" t="s">
        <v>29</v>
      </c>
      <c r="H10" s="10" t="s">
        <v>15</v>
      </c>
      <c r="I10" s="11" t="s">
        <v>43</v>
      </c>
      <c r="J10" s="11"/>
      <c r="K10" s="12" t="s">
        <v>16</v>
      </c>
    </row>
    <row r="11" spans="2:16" ht="43.2" x14ac:dyDescent="0.3">
      <c r="B11" s="3" t="s">
        <v>30</v>
      </c>
      <c r="C11" s="4">
        <f t="shared" si="0"/>
        <v>46271</v>
      </c>
      <c r="D11" s="3" t="s">
        <v>31</v>
      </c>
      <c r="E11" s="5" t="s">
        <v>32</v>
      </c>
      <c r="F11" s="5" t="s">
        <v>33</v>
      </c>
      <c r="G11" s="5" t="s">
        <v>34</v>
      </c>
      <c r="H11" s="5" t="s">
        <v>15</v>
      </c>
      <c r="I11" s="6" t="s">
        <v>43</v>
      </c>
      <c r="J11" s="6"/>
      <c r="K11" s="27" t="s">
        <v>74</v>
      </c>
    </row>
    <row r="12" spans="2:16" ht="72" x14ac:dyDescent="0.3">
      <c r="B12" s="8" t="s">
        <v>38</v>
      </c>
      <c r="C12" s="9">
        <f>DATE(2026,9,8)</f>
        <v>46273</v>
      </c>
      <c r="D12" s="8" t="s">
        <v>39</v>
      </c>
      <c r="E12" s="10" t="s">
        <v>40</v>
      </c>
      <c r="F12" s="10" t="s">
        <v>41</v>
      </c>
      <c r="G12" s="10" t="s">
        <v>42</v>
      </c>
      <c r="H12" s="10" t="s">
        <v>15</v>
      </c>
      <c r="I12" s="11" t="s">
        <v>43</v>
      </c>
      <c r="J12" s="11"/>
      <c r="K12" s="12" t="s">
        <v>16</v>
      </c>
    </row>
    <row r="13" spans="2:16" ht="72" customHeight="1" x14ac:dyDescent="0.3">
      <c r="B13" s="3" t="s">
        <v>48</v>
      </c>
      <c r="C13" s="16" t="s">
        <v>44</v>
      </c>
      <c r="D13" s="3" t="s">
        <v>45</v>
      </c>
      <c r="E13" s="15" t="s">
        <v>32</v>
      </c>
      <c r="F13" s="15" t="s">
        <v>46</v>
      </c>
      <c r="G13" s="15" t="s">
        <v>47</v>
      </c>
      <c r="H13" s="5" t="s">
        <v>15</v>
      </c>
      <c r="I13" s="6" t="s">
        <v>43</v>
      </c>
      <c r="J13" s="6"/>
      <c r="K13" s="7" t="s">
        <v>16</v>
      </c>
    </row>
    <row r="14" spans="2:16" ht="160.19999999999999" customHeight="1" x14ac:dyDescent="0.3">
      <c r="B14" s="8" t="s">
        <v>49</v>
      </c>
      <c r="C14" s="9">
        <f>DATE(2026,9,9)</f>
        <v>46274</v>
      </c>
      <c r="D14" s="8" t="s">
        <v>50</v>
      </c>
      <c r="E14" s="10" t="s">
        <v>51</v>
      </c>
      <c r="F14" s="10" t="s">
        <v>52</v>
      </c>
      <c r="G14" s="10" t="s">
        <v>53</v>
      </c>
      <c r="H14" s="10" t="s">
        <v>15</v>
      </c>
      <c r="I14" s="11" t="s">
        <v>43</v>
      </c>
      <c r="J14" s="11"/>
      <c r="K14" s="12" t="s">
        <v>16</v>
      </c>
    </row>
    <row r="15" spans="2:16" ht="129.6" x14ac:dyDescent="0.3">
      <c r="B15" s="7" t="s">
        <v>67</v>
      </c>
      <c r="C15" s="16">
        <f>DATE(2026,9,29)</f>
        <v>46294</v>
      </c>
      <c r="D15" s="20" t="s">
        <v>68</v>
      </c>
      <c r="E15" s="19" t="s">
        <v>69</v>
      </c>
      <c r="F15" s="19" t="s">
        <v>70</v>
      </c>
      <c r="G15" s="19" t="s">
        <v>71</v>
      </c>
      <c r="H15" s="19" t="s">
        <v>72</v>
      </c>
      <c r="I15" s="6" t="s">
        <v>43</v>
      </c>
      <c r="J15" s="18" t="s">
        <v>15</v>
      </c>
      <c r="K15" s="12" t="s">
        <v>73</v>
      </c>
    </row>
  </sheetData>
  <mergeCells count="7">
    <mergeCell ref="N8:O8"/>
    <mergeCell ref="N4:P4"/>
    <mergeCell ref="B1:K1"/>
    <mergeCell ref="B2:K2"/>
    <mergeCell ref="N5:O5"/>
    <mergeCell ref="N6:O6"/>
    <mergeCell ref="N7:O7"/>
  </mergeCells>
  <phoneticPr fontId="8" type="noConversion"/>
  <conditionalFormatting sqref="C5:C12">
    <cfRule type="cellIs" dxfId="5" priority="6" operator="equal">
      <formula>"—"</formula>
    </cfRule>
  </conditionalFormatting>
  <conditionalFormatting sqref="C14">
    <cfRule type="cellIs" dxfId="4" priority="2" operator="equal">
      <formula>"—"</formula>
    </cfRule>
  </conditionalFormatting>
  <conditionalFormatting sqref="H5:H14">
    <cfRule type="cellIs" dxfId="3" priority="5" operator="equal">
      <formula>"—"</formula>
    </cfRule>
  </conditionalFormatting>
  <conditionalFormatting sqref="J15">
    <cfRule type="cellIs" dxfId="2" priority="1" operator="equal">
      <formula>"—"</formula>
    </cfRule>
  </conditionalFormatting>
  <conditionalFormatting sqref="K5:K15">
    <cfRule type="containsText" dxfId="1" priority="3" operator="containsText" text="DECIDED">
      <formula>NOT(ISERROR(SEARCH("DECIDED",K5)))</formula>
    </cfRule>
    <cfRule type="containsText" dxfId="0" priority="4" operator="containsText"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2026-09-08T21:28:48Z</dcterms:created>
  <dcterms:modified xsi:type="dcterms:W3CDTF">2026-09-29T13:02:41Z</dcterms:modified>
</cp:coreProperties>
</file>