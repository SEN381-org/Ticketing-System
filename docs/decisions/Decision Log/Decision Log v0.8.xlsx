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uawei\Desktop\SEN381\Ticketing-System\docs\decisions\Decision Log\"/>
    </mc:Choice>
  </mc:AlternateContent>
  <xr:revisionPtr revIDLastSave="0" documentId="13_ncr:1_{07F7CD74-8BAF-42BC-AF5A-007286DD943D}" xr6:coauthVersionLast="47" xr6:coauthVersionMax="47" xr10:uidLastSave="{00000000-0000-0000-0000-000000000000}"/>
  <bookViews>
    <workbookView xWindow="-86" yWindow="0" windowWidth="13543" windowHeight="17914"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<sst xmlns="http://schemas.openxmlformats.org/spreadsheetml/2006/main" count="188" uniqueCount="125">
  <si>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</si>
  <si>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</si>
  <si>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</si>
  <si>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</si>
  <si>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</si>
  <si>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</si>
  <si>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</si>
  <si>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</si>
  <si>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</si>
  <si>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</si>
  <si>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</si>
  <si>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</si>
  <si>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</si>
  <si>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</si>
  <si>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</si>
  <si>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</si>
  <si>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</si>
  <si>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</si>
  <si>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</si>
  <si>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</si>
  <si>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</si>
  <si>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</si>
  <si>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</si>
  <si>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</si>
  <si>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</si>
  <si>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</si>
  <si>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</si>
  <si>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</si>
  <si>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</si>
  <si>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Adopt Hostinger as the application hosting and deployment platform, with MongoDB Atlas as the managed database service</t>
  </si>
  <si>
    <t>Vercel, However Hostinger offers more flexibility and customization  given we have access to the server.</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</si>
  <si>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</si>
  <si>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</si>
  <si>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</si>
  <si>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</si>
  <si>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</si>
  <si>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</si>
  <si>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</si>
  <si>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</si>
  <si>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</si>
  <si>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</si>
  <si>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</si>
  <si>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</si>
  <si>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</si>
  <si>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</si>
  <si>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</si>
  <si>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</si>
  <si>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</si>
  <si>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</si>
  <si>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</si>
  <si>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</si>
  <si>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</si>
  <si>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</si>
  <si>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</si>
  <si>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</si>
  <si>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</si>
  <si>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</si>
  <si>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</si>
  <si>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</si>
  <si>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</si>
  <si>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</si>
  <si>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</si>
  <si>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</si>
  <si>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</si>
  <si>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</si>
  <si>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</si>
  <si>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</si>
  <si>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</si>
  <si>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</si>
  <si>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</si>
  <si>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</si>
  <si>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</si>
  <si>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</si>
  <si>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</si>
  <si>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</si>
  <si>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</si>
  <si>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</si>
  <si>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</si>
  <si>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</si>
  <si>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</si>
  <si>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</si>
  <si>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</si>
  <si>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</si>
  <si>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</si>
  <si>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</si>
  <si>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</si>
  <si>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</si>
  <si>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</si>
  <si>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</si>
  <si>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</si>
  <si>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</si>
  <si>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</si>
  <si>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</si>
  <si>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</si>
  <si>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</si>
  <si>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</si>
  <si>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</si>
  <si>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</si>
  <si>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</si>
  <si>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</si>
  <si>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</si>
  <si>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</si>
  <si>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</si>
  <si>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</si>
  <si>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</si>
  <si>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</si>
  <si>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</si>
  <si>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</si>
  <si>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</si>
  <si>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</si>
  <si>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</si>
  <si>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</si>
  <si>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</si>
  <si>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</si>
  <si>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</si>
  <si>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</si>
  <si>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</si>
  <si>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</si>
  <si>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</si>
  <si>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</si>
  <si>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</si>
  <si>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</si>
  <si>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needs a client/ block (browser globals, JSX) once #89 is updated from dev. CI does not build the client. NFR-1.1 browser coverage not claimed (Chromium only). The E2E specs are held until PR #88 merges, because they reuse its fixture harness</t>
  </si>
  <si>
    <t>Decisions and deferments taken during M1, M2 and M3, the alternatives weighed, and what each one commits or blocks downstream</t>
  </si>
  <si>
    <t>Playwright pinned at @playwright/test 1.64.0 (exact, e2e/package.json; Chromium build 1248). Still required: a recorded local E2E run (E2E-1 and E2E-2a pass, E2E-2b an expected failure with its 422 quoted); the client build step in DEC-003 before the staging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</si>
</sst>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xf numFmtId="0" fontId="7" fillId="0" borderId="1" xfId="0" applyFont="1" applyBorder="1" applyAlignment="1">
      <alignment horizontal="center" vertical="center"/>
    </xf>
    <xf numFmtId="0" fontId="0" fillId="0" borderId="3" xfId="0" applyBorder="1"/>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topLeftCell="G1" zoomScale="115" zoomScaleNormal="115" workbookViewId="0">
      <pane ySplit="4" topLeftCell="A23" activePane="bottomLeft" state="frozen"/>
      <selection pane="bottomLeft" activeCell="H23" sqref="H23"/>
    </sheetView>
  </sheetViews>
  <sheetFormatPr defaultRowHeight="14.6" x14ac:dyDescent="0.4"/>
  <cols>
    <col min="1" max="1" width="2.3046875" customWidth="1"/>
    <col min="2" max="2" width="18.15234375" customWidth="1"/>
    <col min="3" max="3" width="30.3046875" bestFit="1" customWidth="1"/>
    <col min="4" max="4" width="37" customWidth="1"/>
    <col min="5" max="5" width="38.84375" customWidth="1"/>
    <col min="6" max="6" width="64.84375" customWidth="1"/>
    <col min="7" max="7" width="53.69140625" customWidth="1"/>
    <col min="8" max="8" width="44.3828125" customWidth="1"/>
    <col min="9" max="9" width="11.15234375" customWidth="1"/>
    <col min="10" max="10" width="46.3046875" customWidth="1"/>
    <col min="11" max="11" width="18.53515625" customWidth="1"/>
    <col min="14" max="14" width="24" customWidth="1"/>
    <col min="16" max="16" width="31.15234375" customWidth="1"/>
  </cols>
  <sheetData>
    <row r="1" spans="2:16" ht="26.25" customHeight="1" x14ac:dyDescent="0.4">
      <c r="B1" s="22" t="s">
        <v>0</v>
      </c>
      <c r="C1" s="23"/>
      <c r="D1" s="23"/>
      <c r="E1" s="23"/>
      <c r="F1" s="23"/>
      <c r="G1" s="23"/>
      <c r="H1" s="23"/>
      <c r="I1" s="23"/>
      <c r="J1" s="23"/>
      <c r="K1" s="23"/>
    </row>
    <row r="2" spans="2:16" x14ac:dyDescent="0.4">
      <c r="B2" s="26" t="s">
        <v>123</v>
      </c>
      <c r="C2" s="23"/>
      <c r="D2" s="23"/>
      <c r="E2" s="23"/>
      <c r="F2" s="23"/>
      <c r="G2" s="23"/>
      <c r="H2" s="23"/>
      <c r="I2" s="23"/>
      <c r="J2" s="23"/>
      <c r="K2" s="23"/>
    </row>
    <row r="4" spans="2:16" ht="36" customHeight="1" x14ac:dyDescent="0.4">
      <c r="B4" s="1" t="s">
        <v>1</v>
      </c>
      <c r="C4" s="2" t="s">
        <v>2</v>
      </c>
      <c r="D4" s="1" t="s">
        <v>3</v>
      </c>
      <c r="E4" s="1" t="s">
        <v>4</v>
      </c>
      <c r="F4" s="1" t="s">
        <v>5</v>
      </c>
      <c r="G4" s="1" t="s">
        <v>6</v>
      </c>
      <c r="H4" s="1" t="s">
        <v>7</v>
      </c>
      <c r="I4" s="2" t="s">
        <v>8</v>
      </c>
      <c r="J4" s="2" t="s">
        <v>9</v>
      </c>
      <c r="K4" s="2" t="s">
        <v>10</v>
      </c>
      <c r="N4" s="27" t="s">
        <v>11</v>
      </c>
      <c r="O4" s="28"/>
      <c r="P4" s="21"/>
    </row>
    <row r="5" spans="2:16" ht="90" customHeight="1" x14ac:dyDescent="0.4">
      <c r="B5" s="3" t="s">
        <v>12</v>
      </c>
      <c r="C5" s="4">
        <f>DATE(2026,9,6)</f>
        <v>46271</v>
      </c>
      <c r="D5" s="3" t="s">
        <v>13</v>
      </c>
      <c r="E5" s="5" t="s">
        <v>14</v>
      </c>
      <c r="F5" s="5" t="s">
        <v>15</v>
      </c>
      <c r="G5" s="5" t="s">
        <v>16</v>
      </c>
      <c r="H5" s="6" t="s">
        <v>17</v>
      </c>
      <c r="I5" s="6" t="s">
        <v>18</v>
      </c>
      <c r="J5" s="6" t="s">
        <v>17</v>
      </c>
      <c r="K5" s="7" t="s">
        <v>19</v>
      </c>
      <c r="N5" s="25" t="s">
        <v>20</v>
      </c>
      <c r="O5" s="21"/>
      <c r="P5" s="13">
        <f>COUNTIF($K$5:$K$148,"DECIDED")</f>
        <v>18</v>
      </c>
    </row>
    <row r="6" spans="2:16" ht="200.05" customHeight="1" x14ac:dyDescent="0.4">
      <c r="B6" s="8" t="s">
        <v>21</v>
      </c>
      <c r="C6" s="9">
        <f>DATE(2026,9,29)</f>
        <v>46294</v>
      </c>
      <c r="D6" s="8" t="s">
        <v>22</v>
      </c>
      <c r="E6" s="10" t="s">
        <v>23</v>
      </c>
      <c r="F6" s="10" t="s">
        <v>24</v>
      </c>
      <c r="G6" s="10" t="s">
        <v>25</v>
      </c>
      <c r="H6" s="11" t="s">
        <v>17</v>
      </c>
      <c r="I6" s="11" t="s">
        <v>18</v>
      </c>
      <c r="J6" s="11" t="s">
        <v>26</v>
      </c>
      <c r="K6" s="7" t="s">
        <v>19</v>
      </c>
      <c r="N6" s="25" t="s">
        <v>27</v>
      </c>
      <c r="O6" s="21"/>
      <c r="P6" s="13">
        <f>COUNTIF($K$5:$K$513,"DEFERRED")</f>
        <v>0</v>
      </c>
    </row>
    <row r="7" spans="2:16" ht="199.5" customHeight="1" x14ac:dyDescent="0.4">
      <c r="B7" s="3" t="s">
        <v>28</v>
      </c>
      <c r="C7" s="4">
        <f>DATE(2026,9,29)</f>
        <v>46294</v>
      </c>
      <c r="D7" s="3" t="s">
        <v>29</v>
      </c>
      <c r="E7" s="5" t="s">
        <v>30</v>
      </c>
      <c r="F7" s="5" t="s">
        <v>31</v>
      </c>
      <c r="G7" s="5" t="s">
        <v>32</v>
      </c>
      <c r="H7" s="6" t="s">
        <v>17</v>
      </c>
      <c r="I7" s="6" t="s">
        <v>18</v>
      </c>
      <c r="J7" s="6" t="s">
        <v>33</v>
      </c>
      <c r="K7" s="7" t="s">
        <v>19</v>
      </c>
      <c r="N7" s="24" t="s">
        <v>34</v>
      </c>
      <c r="O7" s="21"/>
      <c r="P7" s="13">
        <f>COUNTIF($K$5:$K$762,"SUPERSEDED")</f>
        <v>1</v>
      </c>
    </row>
    <row r="8" spans="2:16" ht="57" customHeight="1" x14ac:dyDescent="0.4">
      <c r="B8" s="8" t="s">
        <v>35</v>
      </c>
      <c r="C8" s="9">
        <f>DATE(2026,9,6)</f>
        <v>46271</v>
      </c>
      <c r="D8" s="8" t="s">
        <v>36</v>
      </c>
      <c r="E8" s="10" t="s">
        <v>37</v>
      </c>
      <c r="F8" s="10" t="s">
        <v>38</v>
      </c>
      <c r="G8" s="10" t="s">
        <v>39</v>
      </c>
      <c r="H8" s="11" t="s">
        <v>17</v>
      </c>
      <c r="I8" s="11" t="s">
        <v>18</v>
      </c>
      <c r="J8" s="11" t="s">
        <v>17</v>
      </c>
      <c r="K8" s="12" t="s">
        <v>19</v>
      </c>
      <c r="N8" s="20" t="s">
        <v>40</v>
      </c>
      <c r="O8" s="21"/>
      <c r="P8" s="14">
        <f>SUM(P5:P7)</f>
        <v>19</v>
      </c>
    </row>
    <row r="9" spans="2:16" ht="156.75" customHeight="1" x14ac:dyDescent="0.4">
      <c r="B9" s="3" t="s">
        <v>41</v>
      </c>
      <c r="C9" s="4">
        <f>DATE(2026,9,29)</f>
        <v>46294</v>
      </c>
      <c r="D9" s="3" t="s">
        <v>42</v>
      </c>
      <c r="E9" s="5" t="s">
        <v>43</v>
      </c>
      <c r="F9" s="5" t="s">
        <v>44</v>
      </c>
      <c r="G9" s="5" t="s">
        <v>45</v>
      </c>
      <c r="H9" s="6" t="s">
        <v>17</v>
      </c>
      <c r="I9" s="6" t="s">
        <v>18</v>
      </c>
      <c r="J9" s="6" t="s">
        <v>46</v>
      </c>
      <c r="K9" s="12" t="s">
        <v>19</v>
      </c>
    </row>
    <row r="10" spans="2:16" ht="42.75" customHeight="1" x14ac:dyDescent="0.4">
      <c r="B10" s="8" t="s">
        <v>47</v>
      </c>
      <c r="C10" s="9">
        <f>DATE(2026,9,6)</f>
        <v>46271</v>
      </c>
      <c r="D10" s="8" t="s">
        <v>48</v>
      </c>
      <c r="E10" s="10" t="s">
        <v>49</v>
      </c>
      <c r="F10" s="10" t="s">
        <v>50</v>
      </c>
      <c r="G10" s="10" t="s">
        <v>51</v>
      </c>
      <c r="H10" s="11" t="s">
        <v>17</v>
      </c>
      <c r="I10" s="11" t="s">
        <v>18</v>
      </c>
      <c r="J10" s="11" t="s">
        <v>17</v>
      </c>
      <c r="K10" s="12" t="s">
        <v>19</v>
      </c>
    </row>
    <row r="11" spans="2:16" ht="42.75" customHeight="1" x14ac:dyDescent="0.4">
      <c r="B11" s="3" t="s">
        <v>52</v>
      </c>
      <c r="C11" s="4">
        <f>DATE(2026,9,6)</f>
        <v>46271</v>
      </c>
      <c r="D11" s="3" t="s">
        <v>53</v>
      </c>
      <c r="E11" s="5" t="s">
        <v>54</v>
      </c>
      <c r="F11" s="5" t="s">
        <v>55</v>
      </c>
      <c r="G11" s="5" t="s">
        <v>56</v>
      </c>
      <c r="H11" s="6" t="s">
        <v>17</v>
      </c>
      <c r="I11" s="6" t="s">
        <v>18</v>
      </c>
      <c r="J11" s="6" t="s">
        <v>17</v>
      </c>
      <c r="K11" s="19" t="s">
        <v>57</v>
      </c>
    </row>
    <row r="12" spans="2:16" ht="71.25" customHeight="1" x14ac:dyDescent="0.4">
      <c r="B12" s="8" t="s">
        <v>58</v>
      </c>
      <c r="C12" s="9">
        <f>DATE(2026,9,8)</f>
        <v>46273</v>
      </c>
      <c r="D12" s="8" t="s">
        <v>59</v>
      </c>
      <c r="E12" s="10" t="s">
        <v>60</v>
      </c>
      <c r="F12" s="10" t="s">
        <v>61</v>
      </c>
      <c r="G12" s="10" t="s">
        <v>62</v>
      </c>
      <c r="H12" s="11" t="s">
        <v>17</v>
      </c>
      <c r="I12" s="11" t="s">
        <v>18</v>
      </c>
      <c r="J12" s="11" t="s">
        <v>17</v>
      </c>
      <c r="K12" s="12" t="s">
        <v>19</v>
      </c>
    </row>
    <row r="13" spans="2:16" ht="160.19999999999999" customHeight="1" x14ac:dyDescent="0.4">
      <c r="B13" s="8" t="s">
        <v>63</v>
      </c>
      <c r="C13" s="9">
        <f>DATE(2026,9,9)</f>
        <v>46274</v>
      </c>
      <c r="D13" s="8" t="s">
        <v>64</v>
      </c>
      <c r="E13" s="10" t="s">
        <v>65</v>
      </c>
      <c r="F13" s="10" t="s">
        <v>66</v>
      </c>
      <c r="G13" s="10" t="s">
        <v>67</v>
      </c>
      <c r="H13" s="11" t="s">
        <v>17</v>
      </c>
      <c r="I13" s="11" t="s">
        <v>18</v>
      </c>
      <c r="J13" s="11" t="s">
        <v>17</v>
      </c>
      <c r="K13" s="12" t="s">
        <v>19</v>
      </c>
    </row>
    <row r="14" spans="2:16" ht="150" customHeight="1" x14ac:dyDescent="0.4">
      <c r="B14" s="7" t="s">
        <v>68</v>
      </c>
      <c r="C14" s="16">
        <f t="shared" ref="C14:C21" si="0">DATE(2026,9,29)</f>
        <v>46294</v>
      </c>
      <c r="D14" s="18" t="s">
        <v>69</v>
      </c>
      <c r="E14" s="17" t="s">
        <v>70</v>
      </c>
      <c r="F14" s="17" t="s">
        <v>71</v>
      </c>
      <c r="G14" s="17" t="s">
        <v>72</v>
      </c>
      <c r="H14" s="17" t="s">
        <v>73</v>
      </c>
      <c r="I14" s="6" t="s">
        <v>74</v>
      </c>
      <c r="J14" s="6" t="s">
        <v>75</v>
      </c>
      <c r="K14" s="12" t="s">
        <v>19</v>
      </c>
    </row>
    <row r="15" spans="2:16" ht="299.25" customHeight="1" x14ac:dyDescent="0.4">
      <c r="B15" s="8" t="s">
        <v>76</v>
      </c>
      <c r="C15" s="9">
        <f t="shared" si="0"/>
        <v>46294</v>
      </c>
      <c r="D15" s="8" t="s">
        <v>77</v>
      </c>
      <c r="E15" s="10" t="s">
        <v>78</v>
      </c>
      <c r="F15" s="10" t="s">
        <v>79</v>
      </c>
      <c r="G15" s="10" t="s">
        <v>80</v>
      </c>
      <c r="H15" s="11" t="s">
        <v>17</v>
      </c>
      <c r="I15" s="11" t="s">
        <v>18</v>
      </c>
      <c r="J15" s="11" t="s">
        <v>17</v>
      </c>
      <c r="K15" s="12" t="s">
        <v>20</v>
      </c>
    </row>
    <row r="16" spans="2:16" ht="360" customHeight="1" x14ac:dyDescent="0.4">
      <c r="B16" s="7" t="s">
        <v>81</v>
      </c>
      <c r="C16" s="16">
        <f t="shared" si="0"/>
        <v>46294</v>
      </c>
      <c r="D16" s="18" t="s">
        <v>82</v>
      </c>
      <c r="E16" s="15" t="s">
        <v>83</v>
      </c>
      <c r="F16" s="15" t="s">
        <v>84</v>
      </c>
      <c r="G16" s="15" t="s">
        <v>85</v>
      </c>
      <c r="H16" s="6" t="s">
        <v>17</v>
      </c>
      <c r="I16" s="6" t="s">
        <v>18</v>
      </c>
      <c r="J16" s="6" t="s">
        <v>17</v>
      </c>
      <c r="K16" s="12" t="s">
        <v>20</v>
      </c>
    </row>
    <row r="17" spans="2:11" ht="72" customHeight="1" x14ac:dyDescent="0.4">
      <c r="B17" s="8" t="s">
        <v>86</v>
      </c>
      <c r="C17" s="9">
        <f t="shared" si="0"/>
        <v>46294</v>
      </c>
      <c r="D17" s="8" t="s">
        <v>87</v>
      </c>
      <c r="E17" s="10" t="s">
        <v>54</v>
      </c>
      <c r="F17" s="10" t="s">
        <v>88</v>
      </c>
      <c r="G17" s="10" t="s">
        <v>89</v>
      </c>
      <c r="H17" s="11" t="s">
        <v>17</v>
      </c>
      <c r="I17" s="11" t="s">
        <v>18</v>
      </c>
      <c r="J17" s="11" t="s">
        <v>17</v>
      </c>
      <c r="K17" s="12" t="s">
        <v>19</v>
      </c>
    </row>
    <row r="18" spans="2:11" ht="156.75" customHeight="1" x14ac:dyDescent="0.4">
      <c r="B18" s="8" t="s">
        <v>90</v>
      </c>
      <c r="C18" s="9">
        <f t="shared" si="0"/>
        <v>46294</v>
      </c>
      <c r="D18" s="8" t="s">
        <v>91</v>
      </c>
      <c r="E18" s="10" t="s">
        <v>92</v>
      </c>
      <c r="F18" s="10" t="s">
        <v>93</v>
      </c>
      <c r="G18" s="10" t="s">
        <v>94</v>
      </c>
      <c r="H18" s="11" t="s">
        <v>17</v>
      </c>
      <c r="I18" s="11" t="s">
        <v>95</v>
      </c>
      <c r="J18" s="11" t="s">
        <v>17</v>
      </c>
      <c r="K18" s="12" t="s">
        <v>19</v>
      </c>
    </row>
    <row r="19" spans="2:11" ht="72" customHeight="1" x14ac:dyDescent="0.4">
      <c r="B19" s="8" t="s">
        <v>96</v>
      </c>
      <c r="C19" s="9">
        <f t="shared" si="0"/>
        <v>46294</v>
      </c>
      <c r="D19" s="8" t="s">
        <v>97</v>
      </c>
      <c r="E19" s="10" t="s">
        <v>98</v>
      </c>
      <c r="F19" s="10" t="s">
        <v>99</v>
      </c>
      <c r="G19" s="10" t="s">
        <v>100</v>
      </c>
      <c r="H19" s="11" t="s">
        <v>17</v>
      </c>
      <c r="I19" s="11" t="s">
        <v>101</v>
      </c>
      <c r="J19" s="11" t="s">
        <v>17</v>
      </c>
      <c r="K19" s="12" t="s">
        <v>19</v>
      </c>
    </row>
    <row r="20" spans="2:11" ht="72" customHeight="1" x14ac:dyDescent="0.4">
      <c r="B20" s="8" t="s">
        <v>102</v>
      </c>
      <c r="C20" s="9">
        <f t="shared" si="0"/>
        <v>46294</v>
      </c>
      <c r="D20" s="8" t="s">
        <v>103</v>
      </c>
      <c r="E20" s="10" t="s">
        <v>104</v>
      </c>
      <c r="F20" s="10" t="s">
        <v>105</v>
      </c>
      <c r="G20" s="10" t="s">
        <v>106</v>
      </c>
      <c r="H20" s="11" t="s">
        <v>17</v>
      </c>
      <c r="I20" s="11" t="s">
        <v>101</v>
      </c>
      <c r="J20" s="11" t="s">
        <v>17</v>
      </c>
      <c r="K20" s="12" t="s">
        <v>19</v>
      </c>
    </row>
    <row r="21" spans="2:11" ht="72" customHeight="1" x14ac:dyDescent="0.4">
      <c r="B21" s="8" t="s">
        <v>107</v>
      </c>
      <c r="C21" s="9">
        <f t="shared" si="0"/>
        <v>46294</v>
      </c>
      <c r="D21" s="8" t="s">
        <v>108</v>
      </c>
      <c r="E21" s="10" t="s">
        <v>109</v>
      </c>
      <c r="F21" s="10" t="s">
        <v>110</v>
      </c>
      <c r="G21" s="10" t="s">
        <v>111</v>
      </c>
      <c r="H21" s="11" t="s">
        <v>17</v>
      </c>
      <c r="I21" s="11" t="s">
        <v>101</v>
      </c>
      <c r="J21" s="11" t="s">
        <v>17</v>
      </c>
      <c r="K21" s="12" t="s">
        <v>19</v>
      </c>
    </row>
    <row r="22" spans="2:11" ht="72" customHeight="1" x14ac:dyDescent="0.4">
      <c r="B22" s="8" t="s">
        <v>112</v>
      </c>
      <c r="C22" s="9">
        <f>DATE(2026,10,11)</f>
        <v>46306</v>
      </c>
      <c r="D22" s="8" t="s">
        <v>113</v>
      </c>
      <c r="E22" s="10" t="s">
        <v>114</v>
      </c>
      <c r="F22" s="10" t="s">
        <v>115</v>
      </c>
      <c r="G22" s="10" t="s">
        <v>116</v>
      </c>
      <c r="H22" s="11" t="s">
        <v>117</v>
      </c>
      <c r="I22" s="11" t="s">
        <v>18</v>
      </c>
      <c r="J22" s="11" t="s">
        <v>17</v>
      </c>
      <c r="K22" s="12" t="s">
        <v>19</v>
      </c>
    </row>
    <row r="23" spans="2:11" ht="268.75" x14ac:dyDescent="0.4">
      <c r="B23" s="8" t="s">
        <v>118</v>
      </c>
      <c r="C23" s="9">
        <f>DATE(2026,10,12)</f>
        <v>46307</v>
      </c>
      <c r="D23" s="8" t="s">
        <v>119</v>
      </c>
      <c r="E23" s="10" t="s">
        <v>120</v>
      </c>
      <c r="F23" s="10" t="s">
        <v>121</v>
      </c>
      <c r="G23" s="10" t="s">
        <v>122</v>
      </c>
      <c r="H23" s="11" t="s">
        <v>124</v>
      </c>
      <c r="I23" s="11" t="s">
        <v>18</v>
      </c>
      <c r="J23" s="11" t="s">
        <v>17</v>
      </c>
      <c r="K23" s="12" t="s">
        <v>19</v>
      </c>
    </row>
  </sheetData>
  <mergeCells count="7">
    <mergeCell ref="N8:O8"/>
    <mergeCell ref="B1:K1"/>
    <mergeCell ref="N7:O7"/>
    <mergeCell ref="N6:O6"/>
    <mergeCell ref="B2:K2"/>
    <mergeCell ref="N4:P4"/>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2026-09-08T21:28:48Z</dcterms:created>
  <dcterms:modified xsi:type="dcterms:W3CDTF">2026-10-12T21:36:54Z</dcterms:modified>
</cp:coreProperties>
</file>