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decisions/Decision Log/"/>
    </mc:Choice>
  </mc:AlternateContent>
  <xr:revisionPtr revIDLastSave="211" documentId="8_{DA8A1402-F87E-4E16-A5E2-7754A6675A1C}" xr6:coauthVersionLast="47" xr6:coauthVersionMax="47" xr10:uidLastSave="{DD37A5A6-2B21-4DD4-BF73-84E0249273A8}"/>
  <bookViews>
    <workbookView xWindow="-108" yWindow="-108" windowWidth="30936" windowHeight="17496" xr2:uid="{C10860F7-7028-4DF0-9A0A-0CD539FC6C60}"/>
  </bookViews>
  <sheets>
    <sheet name="Decision 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7" i="1" l="1"/>
  <c r="C16" i="1"/>
  <c r="P6" i="1"/>
  <c r="P7" i="1"/>
  <c r="P5" i="1"/>
  <c r="C15" i="1"/>
  <c r="C9" i="1"/>
  <c r="C7" i="1"/>
  <c r="C6" i="1"/>
  <c r="C14" i="1"/>
  <c r="C12" i="1"/>
  <c r="C11" i="1"/>
  <c r="C10" i="1"/>
  <c r="C8" i="1"/>
  <c r="C5" i="1"/>
  <c r="P8" i="1" l="1"/>
</calcChain>
</file>

<file path=xl/sharedStrings.xml><?xml version="1.0" encoding="utf-8"?>
<sst xmlns="http://schemas.openxmlformats.org/spreadsheetml/2006/main" count="114" uniqueCount="83">
  <si>
    <t>Decision Log</t>
  </si>
  <si>
    <t>ID</t>
  </si>
  <si>
    <t>Date</t>
  </si>
  <si>
    <t>Decision or deferment</t>
  </si>
  <si>
    <t>Alternatives considered</t>
  </si>
  <si>
    <t>Rationale</t>
  </si>
  <si>
    <t>Consequences / downstream impact</t>
  </si>
  <si>
    <t>Evidence still required (if deferred)</t>
  </si>
  <si>
    <t>Owner</t>
  </si>
  <si>
    <t>Status</t>
  </si>
  <si>
    <t>DEC-001</t>
  </si>
  <si>
    <t>Scope CivicConnect to a campus / educational institution context</t>
  </si>
  <si>
    <t>Municipality or local government; community NGO; residential estate</t>
  </si>
  <si>
    <t>The Master Brief does not name the client organisation. The request types listed in s.2 (facility faults, IT support, lost property, security concerns) correspond to an institutional campus. A recorded assumption is preferable to proceeding with an ambiguous stakeholder set.</t>
  </si>
  <si>
    <t>Determines the entire stakeholder register and the applicability of POPIA (CON-007). If the assumption is wrong, STK-001 to STK-009 and every derived requirement must be revisited.</t>
  </si>
  <si>
    <t>—</t>
  </si>
  <si>
    <t>DECIDED</t>
  </si>
  <si>
    <t>DEC-002</t>
  </si>
  <si>
    <t>DEC-003</t>
  </si>
  <si>
    <t>DEC-004</t>
  </si>
  <si>
    <t>Treat role-based access control as an architecturally significant requirement</t>
  </si>
  <si>
    <t>Handle authorisation as an application-level concern during construction; use a single shared staff view</t>
  </si>
  <si>
    <t>The CFL-002 resolution restricts security-request visibility by role. Authorisation applied late cannot be retrofitted cleanly across every view and transition, and CON-006 requires it to be addressed from requirements onward.</t>
  </si>
  <si>
    <t>Constrains the M2 architecture and data model. Adds verification obligations in M3 under CON-005.</t>
  </si>
  <si>
    <t>DEC-005</t>
  </si>
  <si>
    <t>DEC-006</t>
  </si>
  <si>
    <t>Limit mandatory capture fields at submission to category, location and description</t>
  </si>
  <si>
    <t>Capture full structured detail at submission; make all detail optional</t>
  </si>
  <si>
    <t>Resolution of CFL-001. Minimal mandatory capture protects submission speed for STK-001; category remains mandatory because the SCP-011 reporting depends on it.</t>
  </si>
  <si>
    <t>Reporting richness for STK-005 depends on post-submission detail being supplied. If uptake is poor, this decision may need revisiting through change control.</t>
  </si>
  <si>
    <t>DEC-007</t>
  </si>
  <si>
    <t>Exclude a native mobile application from the committed scope</t>
  </si>
  <si>
    <t>Native mobile in addition to web; native mobile instead of web</t>
  </si>
  <si>
    <t>A responsive web interface meets the access need within CON-002 and CON-004. A second build and release path is not supportable by three part-time students within the delivery period.</t>
  </si>
  <si>
    <t>Places a usability obligation on the web interface for mobile viewports, which becomes a quality attribute for Member B to specify measurably under CON-005.</t>
  </si>
  <si>
    <t>Decision status</t>
  </si>
  <si>
    <t>Decided</t>
  </si>
  <si>
    <t>Total logged</t>
  </si>
  <si>
    <t>DEC-008</t>
  </si>
  <si>
    <t>Adopt a two-stage protected branching model: feature branches merge to dev, dev merges to main only at a release or baseline point. Both branches protected with two required approvals.</t>
  </si>
  <si>
    <t>Trunk-based development with feature branches directly to a single protected main; full GitFlow with release and hotfix branches</t>
  </si>
  <si>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</si>
  <si>
    <t>Every substantive change requires two approvals at two merge points, so integration is slower and both teammates gate every change. main will lag dev, so baseline evidence must be explicitly merged and tagged at each milestone rather than assumed present.</t>
  </si>
  <si>
    <t>Ethan</t>
  </si>
  <si>
    <t>2026/09/06  - Revised 2206/09/09</t>
  </si>
  <si>
    <t>Exclude a native mobile application from the committed scope; mobile access is delivered through responsive web</t>
  </si>
  <si>
    <t>Originally taken as a team judgement: a responsive web interface meets the access need within CON-002 and CON-004, and a second build and release path is not supportable by three part-time students within the delivery period. Revised 09/09/2026 — the client confirmed verbally that the solution is to be a web application with mobile access via responsive web (CON-011). The decision is unchanged; its basis is now a client directive rather than a team judgement.</t>
  </si>
  <si>
    <t>Places a usability obligation on the web interface at mobile viewports, to be specified measurably by Member B under CON-005. Following the revision, the exclusion is no longer a team preference and cannot be revisited without a change request under Master Brief s.14. Reduces the risk that scope pressure later reopens the question.</t>
  </si>
  <si>
    <t>DEC-007 (Revised)</t>
  </si>
  <si>
    <t>DEC-009</t>
  </si>
  <si>
    <t>Adopt a controlled process for capturing verbally-issued client requirements: instructions given in session are recorded in dated team notes by a nominated member, committed to the repository within one working day, and confirmed with the client at the next session before being treated as binding.</t>
  </si>
  <si>
    <t>Rely on individual members' personal notes; request that all client instructions be issued in writing; treat verbal instructions as non-binding until they appear in a written brief.</t>
  </si>
  <si>
    <t>The client (STK-010) issues requirements verbally in sessions with no written record on their side. Without a controlled capture process, a directive exists only in individual memory, cannot be traced to a source, and cannot be shown to have been the basis of a requirement or constraint. Requesting written instruction was rejected as outside the team's control. Treating verbal instruction as non-binding was rejected because the instructions are directive in practice and ignoring them would put delivery at risk. Confirming at the next session gives the client an opportunity to correct a misheard or misrecorded instruction before it propagates into requirements.</t>
  </si>
  <si>
    <t>Creates a recurring obligation for the duration of the project, not a one-off task. Introduces up to a one-session lag between an instruction being given and it being treated as binding, which is a deliberate accuracy-over-speed trade-off. Every constraint or requirement derived from a verbal instruction must cite the dated note as its source, so the notes become a controlled artefact subject to the same repository controls as any other. Reduces the risk of disputed or forgotten requirements at later milestones.</t>
  </si>
  <si>
    <t>Preserved from v1.0</t>
  </si>
  <si>
    <t>Adopt a MERN stack: MongoDB, Express, React and Node.js, with MongoDB Atlas as the managed database service</t>
  </si>
  <si>
    <t>Decided at M2, closing the deferment recorded at v1.0. The five build-repeatability properties identified in the team's Assignment 2 research were applied as selection criteria rather than as work following the selection. Team capability under CON-004 is an engineering input rather than a preference: a single language across client and server removes a context switch for three part-time members. Availability under CON-008 is satisfied because Atlas is a hosted service independent of the institutional environment.</t>
  </si>
  <si>
    <t>CON-015 (trigger-based database auditing) is satisfiable: Atlas provides managed Database Triggers that fire on insert, update and delete. Free M0 clusters deploy as a three-node replica set, so change streams and multi-document transactions are both available, and the transactional position carried in the Assignment 2 persistence research transfers. Two consequences remain open. Free M0 clusters do not support backups, which bears directly on NFR-1.5; this is carried as DEC-010. And the database now sits with a second provider alongside the DEC-003 host, which is a dependency under CON-008 and a cost position under CON-003. The decision closed after the 22 September working deadline imposed by CON-013, so the exposure recorded as RSK-015 materialised rather than being avoided.</t>
  </si>
  <si>
    <t>Defer selection of the technology stack. Evidence required at deferment: verified availability of candidate technologies in the institutional environment under CON-008. Working deadline of 22 September imposed by CON-013.</t>
  </si>
  <si>
    <t>Adopt Hostinger as the application hosting and deployment platform, with MongoDB Atlas as the managed database service</t>
  </si>
  <si>
    <t>Decided at M2, closing the deferment recorded at v1.0. The deferment identified the trade-off between CON-003 (free or low-cost services) and CON-006, CON-007 and CON-019 (audit log retention, backup and encryption), which free tiers commonly omit. Separating application hosting from the database service addresses that trade-off directly: the audit and replica-set capabilities the data layer requires are provided by the managed database service rather than by the application host.</t>
  </si>
  <si>
    <t>SCP-014 (status notification) and SCP-015 (photograph attachments) are released from their dependency on this decision and may be reconsidered through controlled change. The evidence named at deferment - documented limits covering audit log retention, backup and likely operational cost beyond the educational context - must now be recorded against the specific plan and cluster tier selected rather than against the platforms in general. Backup capability is determinable for the first time, so the 24-hour recovery point asserted in NFR-1.5 becomes testable rather than assumed; the tier question this raises is carried as DEC-010. Two providers rather than one increases the dependency surface under CON-008. Closed after the 22 September deadline, with the same consequence recorded under DEC-002.</t>
  </si>
  <si>
    <t>Defer selection of the hosting and deployment platform. Alternatives at deferment: commit to a free-tier platform now; commit to a paid platform now. Evidence required: documented free-tier limits for candidate platforms covering audit log retention, backup and likely operational cost beyond the educational context.</t>
  </si>
  <si>
    <t>Retain identifiable personal information for one month, with aggregated statistics retained beyond that period</t>
  </si>
  <si>
    <t>Retain indefinitely; adopt a longer fixed period; continue deferring pending STK-009 guidance</t>
  </si>
  <si>
    <t>NFR-4.2 is released from OI-05 and now states a period that can be written and verified; AC-NFR-4.2 becomes writable and must be added. SCP-020 (automated enforcement of the retention period) remains deferred as a capability, but the original basis for that deferment - that the period itself was undecided - no longer holds, so SCP-020's basis must be rewritten rather than left as recorded. RSK-002, the highest-scoring exposure in the register, is re-scored or closed. The one-month window also bounds what can be reconstructed after an incident, so it interacts with the audit obligation under CON-015 and with the operational evidence position.</t>
  </si>
  <si>
    <t>Defer the personal-information retention period. Alternatives at deferment: retain indefinitely; adopt an arbitrary fixed period. Evidence required: retention guidance from the information officer, or a documented institutional retention standard.</t>
  </si>
  <si>
    <t>DEC-010</t>
  </si>
  <si>
    <t>Defer selection of the Atlas cluster tier, and of the mechanism by which the NFR-1.5 recovery point is met</t>
  </si>
  <si>
    <t>Remain on a free M0 cluster and meet the recovery point through scheduled mongodump; adopt the lowest paid tier that provides managed backup; amend NFR-1.5 through controlled change to state a recovery point the selected tier can evidence</t>
  </si>
  <si>
    <t>MongoDB's documentation records that backups cannot be enabled on free clusters, and recommends mongodump and mongorestore as the alternative. NFR-1.5 requires recovery to a state no more than 24 hours old following total loss of the primary data store. On a free cluster that obligation therefore rests on a scheduled dump that someone must operate and evidence, rather than on a platform capability. The choice between paying for managed backup and operating a dump schedule is a cost decision under CON-003 against a supportability decision under CON-004, and neither can be made without the cost figure.</t>
  </si>
  <si>
    <t>NFR-1.5 cannot be evidenced until this closes, and the M3 verification obligation under CON-005 depends on it. Free M0 clusters also limit total storage to 0.5 GB, which interacts with the 10 000-request volume assumed in NFR-2.2 and with the one-month retention period set in DEC-005. Whichever option is selected must be recorded against NFR-1.5's measurement basis.</t>
  </si>
  <si>
    <t>Cost of the lowest Atlas tier providing managed backup; whether a scheduled dump can meet a 24-hour recovery point within the capacity available under CON-004; STK-008's position on incurring the cost</t>
  </si>
  <si>
    <t>Deferred</t>
  </si>
  <si>
    <t>SUPERSEDED</t>
  </si>
  <si>
    <t>Superseded</t>
  </si>
  <si>
    <t>Vercel, However Hostinger offers more flexibility and customization  given we have access to the server.</t>
  </si>
  <si>
    <t>Database decision such as Postgres and MySQL which would change the backend platform.</t>
  </si>
  <si>
    <t>Decisions and deferments taken during M1 and M2, the alternatives weighed, and what each one commits or blocks downstream</t>
  </si>
  <si>
    <t>Decided as a team judgement. No statutory obligation requires a minimum retention period for this data; the operative constraint under CON-007 runs the other way, since POPIA requires that personal information not be retained for longer than necessary to achieve the purpose it was collected for. One month was selected as the shortest period that still allows a backup cycle to complete and a request to be reconciled before identifiable data is removed. Aggregated statistics are retained beyond it so that SCP-011 reporting survives deletion. The period is a team position rather than stakeholder-validated guidance from STK-009, and is carried as such.</t>
  </si>
  <si>
    <t>DEC-011</t>
  </si>
  <si>
    <t>DEC-012</t>
  </si>
  <si>
    <t>Publish a domain event from the status-transition service and let interested components subscribe to it, using in-process event publication within the application 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</si>
</sst>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b/>
      <sz val="10.5"/>
      <color rgb="FF000000"/>
      <name val="Aptos Narrow"/>
      <family val="2"/>
      <scheme val="minor"/>
    </font>
    <font>
      <sz val="10.5"/>
      <color rgb="FF000000"/>
      <name val="Aptos Narrow"/>
      <family val="2"/>
      <scheme val="minor"/>
    </font>
    <font>
      <b/>
      <sz val="12"/>
      <color rgb="FF0F4761"/>
      <name val="Aptos Narrow"/>
      <family val="2"/>
      <scheme val="minor"/>
    </font>
    <font>
      <sz val="8"/>
      <name val="Aptos Narrow"/>
      <family val="2"/>
      <scheme val="minor"/>
    </font>
    <font>
      <i/>
      <sz val="11"/>
      <color theme="1"/>
      <name val="Aptos Narrow"/>
      <family val="2"/>
      <scheme val="minor"/>
    </font>
    <font>
      <b/>
      <sz val="10.5"/>
      <color theme="5" tint="-0.499984740745262"/>
      <name val="Aptos Narrow"/>
      <family val="2"/>
      <scheme val="minor"/>
    </font>
  </fonts>
  <fills count="6">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
      <patternFill patternType="solid">
        <fgColor rgb="FFFF7C8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4" fillId="2" borderId="1" xfId="0" applyFont="1" applyFill="1" applyBorder="1" applyAlignment="1">
      <alignment horizontal="left" vertical="center" wrapText="1" indent="1"/>
    </xf>
    <xf numFmtId="0" fontId="4" fillId="2" borderId="1" xfId="0" applyFont="1" applyFill="1" applyBorder="1" applyAlignment="1">
      <alignment horizontal="center" vertical="center" wrapText="1" indent="1"/>
    </xf>
    <xf numFmtId="0" fontId="5" fillId="0" borderId="1" xfId="0" applyFont="1" applyBorder="1" applyAlignment="1">
      <alignment vertical="center" wrapText="1" indent="1"/>
    </xf>
    <xf numFmtId="14" fontId="6" fillId="0" borderId="1" xfId="0" applyNumberFormat="1" applyFont="1" applyBorder="1" applyAlignment="1">
      <alignment horizontal="center" vertical="center" wrapText="1"/>
    </xf>
    <xf numFmtId="0" fontId="6" fillId="0" borderId="1" xfId="0" applyFont="1" applyBorder="1" applyAlignment="1">
      <alignment vertical="center" wrapText="1" inden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vertical="center" wrapText="1" indent="1"/>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vertical="center" wrapText="1" inden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9" fillId="0" borderId="1" xfId="0" applyFont="1" applyBorder="1" applyAlignment="1">
      <alignment wrapText="1"/>
    </xf>
    <xf numFmtId="0" fontId="6" fillId="0" borderId="1" xfId="0" applyFont="1" applyBorder="1" applyAlignment="1">
      <alignment vertical="center"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10" fillId="5" borderId="1" xfId="0" applyFont="1" applyFill="1" applyBorder="1" applyAlignment="1">
      <alignment horizontal="center" vertical="center" wrapText="1"/>
    </xf>
    <xf numFmtId="0" fontId="1" fillId="4" borderId="1" xfId="0" applyFont="1" applyFill="1" applyBorder="1" applyAlignment="1">
      <alignment horizontal="left" vertical="center" indent="1"/>
    </xf>
    <xf numFmtId="0" fontId="7" fillId="0" borderId="1" xfId="0" applyFont="1" applyBorder="1" applyAlignment="1">
      <alignment horizontal="center" vertical="center"/>
    </xf>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0" fillId="3" borderId="1" xfId="0" applyFill="1" applyBorder="1" applyAlignment="1">
      <alignment horizontal="left" vertical="center" indent="1"/>
    </xf>
    <xf numFmtId="0" fontId="0" fillId="3" borderId="2" xfId="0" applyFill="1" applyBorder="1" applyAlignment="1">
      <alignment horizontal="left" vertical="center"/>
    </xf>
    <xf numFmtId="0" fontId="0" fillId="3" borderId="3" xfId="0" applyFill="1" applyBorder="1" applyAlignment="1">
      <alignment horizontal="left" vertical="center"/>
    </xf>
  </cellXfs>
  <cellStyles count="1">
    <cellStyle name="Normal" xfId="0" builtinId="0"/>
  </cellStyles>
  <dxfs count="9">
    <dxf>
      <font>
        <color rgb="FFA6A6A6"/>
      </font>
    </dxf>
    <dxf>
      <font>
        <color rgb="FFA6A6A6"/>
      </font>
    </dxf>
    <dxf>
      <font>
        <color rgb="FFA6A6A6"/>
      </font>
    </dxf>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color rgb="FFA6A6A6"/>
      </font>
    </dxf>
    <dxf>
      <font>
        <color rgb="FFA6A6A6"/>
      </font>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17EC7-5E25-4DAF-A0FC-95E5CA365EC5}">
  <dimension ref="B1:P17"/>
  <sheetViews>
    <sheetView tabSelected="1" zoomScale="70" zoomScaleNormal="70" workbookViewId="0">
      <pane ySplit="4" topLeftCell="A14" activePane="bottomLeft" state="frozen"/>
      <selection pane="bottomLeft" activeCell="J30" sqref="J30"/>
    </sheetView>
  </sheetViews>
  <sheetFormatPr defaultRowHeight="14.4" x14ac:dyDescent="0.3"/>
  <cols>
    <col min="1" max="1" width="2.21875" customWidth="1"/>
    <col min="2" max="2" width="18.109375" customWidth="1"/>
    <col min="3" max="3" width="30.21875" bestFit="1" customWidth="1"/>
    <col min="4" max="4" width="37" customWidth="1"/>
    <col min="5" max="5" width="38.88671875" customWidth="1"/>
    <col min="6" max="6" width="64.88671875" customWidth="1"/>
    <col min="7" max="7" width="53.6640625" customWidth="1"/>
    <col min="8" max="8" width="44.44140625" customWidth="1"/>
    <col min="9" max="9" width="11.109375" customWidth="1"/>
    <col min="10" max="10" width="46.21875" customWidth="1"/>
    <col min="11" max="11" width="18.5546875" customWidth="1"/>
    <col min="14" max="14" width="24" customWidth="1"/>
    <col min="16" max="16" width="31.109375" customWidth="1"/>
  </cols>
  <sheetData>
    <row r="1" spans="2:16" ht="25.8" x14ac:dyDescent="0.3">
      <c r="B1" s="24" t="s">
        <v>0</v>
      </c>
      <c r="C1" s="25"/>
      <c r="D1" s="25"/>
      <c r="E1" s="25"/>
      <c r="F1" s="25"/>
      <c r="G1" s="25"/>
      <c r="H1" s="25"/>
      <c r="I1" s="25"/>
      <c r="J1" s="25"/>
      <c r="K1" s="25"/>
    </row>
    <row r="2" spans="2:16" x14ac:dyDescent="0.3">
      <c r="B2" s="26" t="s">
        <v>78</v>
      </c>
      <c r="C2" s="25"/>
      <c r="D2" s="25"/>
      <c r="E2" s="25"/>
      <c r="F2" s="25"/>
      <c r="G2" s="25"/>
      <c r="H2" s="25"/>
      <c r="I2" s="25"/>
      <c r="J2" s="25"/>
      <c r="K2" s="25"/>
    </row>
    <row r="4" spans="2:16" ht="36" customHeight="1" x14ac:dyDescent="0.3">
      <c r="B4" s="1" t="s">
        <v>1</v>
      </c>
      <c r="C4" s="2" t="s">
        <v>2</v>
      </c>
      <c r="D4" s="1" t="s">
        <v>3</v>
      </c>
      <c r="E4" s="1" t="s">
        <v>4</v>
      </c>
      <c r="F4" s="1" t="s">
        <v>5</v>
      </c>
      <c r="G4" s="1" t="s">
        <v>6</v>
      </c>
      <c r="H4" s="1" t="s">
        <v>7</v>
      </c>
      <c r="I4" s="2" t="s">
        <v>8</v>
      </c>
      <c r="J4" s="2" t="s">
        <v>54</v>
      </c>
      <c r="K4" s="2" t="s">
        <v>9</v>
      </c>
      <c r="N4" s="23" t="s">
        <v>35</v>
      </c>
      <c r="O4" s="23"/>
      <c r="P4" s="23"/>
    </row>
    <row r="5" spans="2:16" ht="90" customHeight="1" x14ac:dyDescent="0.3">
      <c r="B5" s="3" t="s">
        <v>10</v>
      </c>
      <c r="C5" s="4">
        <f t="shared" ref="C5:C11" si="0">DATE(2026,9,6)</f>
        <v>46271</v>
      </c>
      <c r="D5" s="3" t="s">
        <v>11</v>
      </c>
      <c r="E5" s="5" t="s">
        <v>12</v>
      </c>
      <c r="F5" s="5" t="s">
        <v>13</v>
      </c>
      <c r="G5" s="5" t="s">
        <v>14</v>
      </c>
      <c r="H5" s="5" t="s">
        <v>15</v>
      </c>
      <c r="I5" s="6" t="s">
        <v>43</v>
      </c>
      <c r="J5" s="17"/>
      <c r="K5" s="7" t="s">
        <v>16</v>
      </c>
      <c r="N5" s="27" t="s">
        <v>36</v>
      </c>
      <c r="O5" s="27"/>
      <c r="P5" s="13">
        <f>COUNTIF($K$5:$K$149,"DECIDED")</f>
        <v>10</v>
      </c>
    </row>
    <row r="6" spans="2:16" ht="201.6" x14ac:dyDescent="0.3">
      <c r="B6" s="8" t="s">
        <v>17</v>
      </c>
      <c r="C6" s="9">
        <f>DATE(2026,9,29)</f>
        <v>46294</v>
      </c>
      <c r="D6" s="8" t="s">
        <v>55</v>
      </c>
      <c r="E6" s="10" t="s">
        <v>77</v>
      </c>
      <c r="F6" s="10" t="s">
        <v>56</v>
      </c>
      <c r="G6" s="10" t="s">
        <v>57</v>
      </c>
      <c r="H6" s="10" t="s">
        <v>15</v>
      </c>
      <c r="I6" s="11" t="s">
        <v>43</v>
      </c>
      <c r="J6" s="11" t="s">
        <v>58</v>
      </c>
      <c r="K6" s="7" t="s">
        <v>16</v>
      </c>
      <c r="N6" s="27" t="s">
        <v>73</v>
      </c>
      <c r="O6" s="27"/>
      <c r="P6" s="13">
        <f>COUNTIF($K$5:$K$15,"DEFERRED")</f>
        <v>1</v>
      </c>
    </row>
    <row r="7" spans="2:16" ht="201.6" x14ac:dyDescent="0.3">
      <c r="B7" s="3" t="s">
        <v>18</v>
      </c>
      <c r="C7" s="4">
        <f>DATE(2026,9,29)</f>
        <v>46294</v>
      </c>
      <c r="D7" s="3" t="s">
        <v>59</v>
      </c>
      <c r="E7" s="5" t="s">
        <v>76</v>
      </c>
      <c r="F7" s="5" t="s">
        <v>60</v>
      </c>
      <c r="G7" s="5" t="s">
        <v>61</v>
      </c>
      <c r="H7" s="5" t="s">
        <v>15</v>
      </c>
      <c r="I7" s="6" t="s">
        <v>43</v>
      </c>
      <c r="J7" s="6" t="s">
        <v>62</v>
      </c>
      <c r="K7" s="7" t="s">
        <v>16</v>
      </c>
      <c r="N7" s="28" t="s">
        <v>75</v>
      </c>
      <c r="O7" s="29"/>
      <c r="P7" s="13">
        <f>COUNTIF($K$5:$K$12,"SUPERSEDED")</f>
        <v>1</v>
      </c>
    </row>
    <row r="8" spans="2:16" ht="57.6" x14ac:dyDescent="0.3">
      <c r="B8" s="8" t="s">
        <v>19</v>
      </c>
      <c r="C8" s="9">
        <f t="shared" si="0"/>
        <v>46271</v>
      </c>
      <c r="D8" s="8" t="s">
        <v>20</v>
      </c>
      <c r="E8" s="10" t="s">
        <v>21</v>
      </c>
      <c r="F8" s="10" t="s">
        <v>22</v>
      </c>
      <c r="G8" s="10" t="s">
        <v>23</v>
      </c>
      <c r="H8" s="10" t="s">
        <v>15</v>
      </c>
      <c r="I8" s="11" t="s">
        <v>43</v>
      </c>
      <c r="J8" s="11"/>
      <c r="K8" s="12" t="s">
        <v>16</v>
      </c>
      <c r="N8" s="22" t="s">
        <v>37</v>
      </c>
      <c r="O8" s="22"/>
      <c r="P8" s="14">
        <f>SUM(P5:P7)</f>
        <v>12</v>
      </c>
    </row>
    <row r="9" spans="2:16" ht="158.4" x14ac:dyDescent="0.3">
      <c r="B9" s="3" t="s">
        <v>24</v>
      </c>
      <c r="C9" s="4">
        <f>DATE(2026,9,29)</f>
        <v>46294</v>
      </c>
      <c r="D9" s="3" t="s">
        <v>63</v>
      </c>
      <c r="E9" s="5" t="s">
        <v>64</v>
      </c>
      <c r="F9" s="5" t="s">
        <v>79</v>
      </c>
      <c r="G9" s="5" t="s">
        <v>65</v>
      </c>
      <c r="H9" s="5" t="s">
        <v>15</v>
      </c>
      <c r="I9" s="6" t="s">
        <v>43</v>
      </c>
      <c r="J9" s="6" t="s">
        <v>66</v>
      </c>
      <c r="K9" s="12" t="s">
        <v>16</v>
      </c>
    </row>
    <row r="10" spans="2:16" ht="43.2" x14ac:dyDescent="0.3">
      <c r="B10" s="8" t="s">
        <v>25</v>
      </c>
      <c r="C10" s="9">
        <f t="shared" si="0"/>
        <v>46271</v>
      </c>
      <c r="D10" s="8" t="s">
        <v>26</v>
      </c>
      <c r="E10" s="10" t="s">
        <v>27</v>
      </c>
      <c r="F10" s="10" t="s">
        <v>28</v>
      </c>
      <c r="G10" s="10" t="s">
        <v>29</v>
      </c>
      <c r="H10" s="10" t="s">
        <v>15</v>
      </c>
      <c r="I10" s="11" t="s">
        <v>43</v>
      </c>
      <c r="J10" s="11"/>
      <c r="K10" s="12" t="s">
        <v>16</v>
      </c>
    </row>
    <row r="11" spans="2:16" ht="43.2" x14ac:dyDescent="0.3">
      <c r="B11" s="3" t="s">
        <v>30</v>
      </c>
      <c r="C11" s="4">
        <f t="shared" si="0"/>
        <v>46271</v>
      </c>
      <c r="D11" s="3" t="s">
        <v>31</v>
      </c>
      <c r="E11" s="5" t="s">
        <v>32</v>
      </c>
      <c r="F11" s="5" t="s">
        <v>33</v>
      </c>
      <c r="G11" s="5" t="s">
        <v>34</v>
      </c>
      <c r="H11" s="5" t="s">
        <v>15</v>
      </c>
      <c r="I11" s="6" t="s">
        <v>43</v>
      </c>
      <c r="J11" s="6"/>
      <c r="K11" s="21" t="s">
        <v>74</v>
      </c>
    </row>
    <row r="12" spans="2:16" ht="72" x14ac:dyDescent="0.3">
      <c r="B12" s="8" t="s">
        <v>38</v>
      </c>
      <c r="C12" s="9">
        <f>DATE(2026,9,8)</f>
        <v>46273</v>
      </c>
      <c r="D12" s="8" t="s">
        <v>39</v>
      </c>
      <c r="E12" s="10" t="s">
        <v>40</v>
      </c>
      <c r="F12" s="10" t="s">
        <v>41</v>
      </c>
      <c r="G12" s="10" t="s">
        <v>42</v>
      </c>
      <c r="H12" s="10" t="s">
        <v>15</v>
      </c>
      <c r="I12" s="11" t="s">
        <v>43</v>
      </c>
      <c r="J12" s="11"/>
      <c r="K12" s="12" t="s">
        <v>16</v>
      </c>
    </row>
    <row r="13" spans="2:16" ht="72" customHeight="1" x14ac:dyDescent="0.3">
      <c r="B13" s="3" t="s">
        <v>48</v>
      </c>
      <c r="C13" s="16" t="s">
        <v>44</v>
      </c>
      <c r="D13" s="3" t="s">
        <v>45</v>
      </c>
      <c r="E13" s="15" t="s">
        <v>32</v>
      </c>
      <c r="F13" s="15" t="s">
        <v>46</v>
      </c>
      <c r="G13" s="15" t="s">
        <v>47</v>
      </c>
      <c r="H13" s="5" t="s">
        <v>15</v>
      </c>
      <c r="I13" s="6" t="s">
        <v>43</v>
      </c>
      <c r="J13" s="6"/>
      <c r="K13" s="7" t="s">
        <v>16</v>
      </c>
    </row>
    <row r="14" spans="2:16" ht="160.19999999999999" customHeight="1" x14ac:dyDescent="0.3">
      <c r="B14" s="8" t="s">
        <v>49</v>
      </c>
      <c r="C14" s="9">
        <f>DATE(2026,9,9)</f>
        <v>46274</v>
      </c>
      <c r="D14" s="8" t="s">
        <v>50</v>
      </c>
      <c r="E14" s="10" t="s">
        <v>51</v>
      </c>
      <c r="F14" s="10" t="s">
        <v>52</v>
      </c>
      <c r="G14" s="10" t="s">
        <v>53</v>
      </c>
      <c r="H14" s="10" t="s">
        <v>15</v>
      </c>
      <c r="I14" s="11" t="s">
        <v>43</v>
      </c>
      <c r="J14" s="11"/>
      <c r="K14" s="12" t="s">
        <v>16</v>
      </c>
    </row>
    <row r="15" spans="2:16" ht="129.6" x14ac:dyDescent="0.3">
      <c r="B15" s="7" t="s">
        <v>67</v>
      </c>
      <c r="C15" s="16">
        <f>DATE(2026,9,29)</f>
        <v>46294</v>
      </c>
      <c r="D15" s="20" t="s">
        <v>68</v>
      </c>
      <c r="E15" s="19" t="s">
        <v>69</v>
      </c>
      <c r="F15" s="19" t="s">
        <v>70</v>
      </c>
      <c r="G15" s="19" t="s">
        <v>71</v>
      </c>
      <c r="H15" s="19" t="s">
        <v>72</v>
      </c>
      <c r="I15" s="6" t="s">
        <v>43</v>
      </c>
      <c r="J15" s="18" t="s">
        <v>15</v>
      </c>
      <c r="K15" s="12" t="s">
        <v>73</v>
      </c>
    </row>
    <row r="16" spans="2:16" ht="72" x14ac:dyDescent="0.3">
      <c r="B16" s="8" t="s">
        <v>80</v>
      </c>
      <c r="C16" s="9">
        <f>DATE(2026,9,29)</f>
        <v>46294</v>
      </c>
      <c r="D16" s="8" t="s">
        <v>82</v>
      </c>
      <c r="E16" s="10"/>
      <c r="F16" s="10"/>
      <c r="G16" s="10"/>
      <c r="H16" s="10"/>
      <c r="I16" s="11"/>
      <c r="J16" s="11"/>
      <c r="K16" s="12" t="s">
        <v>36</v>
      </c>
    </row>
    <row r="17" spans="2:11" x14ac:dyDescent="0.3">
      <c r="B17" s="7" t="s">
        <v>81</v>
      </c>
      <c r="C17" s="16">
        <f>DATE(2026,9,29)</f>
        <v>46294</v>
      </c>
      <c r="D17" s="20"/>
      <c r="E17" s="19"/>
      <c r="F17" s="19"/>
      <c r="G17" s="19"/>
      <c r="H17" s="19"/>
      <c r="I17" s="6"/>
      <c r="J17" s="18"/>
      <c r="K17" s="12"/>
    </row>
  </sheetData>
  <mergeCells count="7">
    <mergeCell ref="B1:K1"/>
    <mergeCell ref="B2:K2"/>
    <mergeCell ref="N8:O8"/>
    <mergeCell ref="N4:P4"/>
    <mergeCell ref="N5:O5"/>
    <mergeCell ref="N6:O6"/>
    <mergeCell ref="N7:O7"/>
  </mergeCells>
  <phoneticPr fontId="8" type="noConversion"/>
  <conditionalFormatting sqref="C5:C12">
    <cfRule type="cellIs" dxfId="8" priority="9" operator="equal">
      <formula>"—"</formula>
    </cfRule>
  </conditionalFormatting>
  <conditionalFormatting sqref="C14">
    <cfRule type="cellIs" dxfId="7" priority="5" operator="equal">
      <formula>"—"</formula>
    </cfRule>
  </conditionalFormatting>
  <conditionalFormatting sqref="H5:H14">
    <cfRule type="cellIs" dxfId="6" priority="8" operator="equal">
      <formula>"—"</formula>
    </cfRule>
  </conditionalFormatting>
  <conditionalFormatting sqref="J15">
    <cfRule type="cellIs" dxfId="5" priority="4" operator="equal">
      <formula>"—"</formula>
    </cfRule>
  </conditionalFormatting>
  <conditionalFormatting sqref="K5:K17">
    <cfRule type="containsText" dxfId="4" priority="6" operator="containsText" text="DECIDED">
      <formula>NOT(ISERROR(SEARCH("DECIDED",K5)))</formula>
    </cfRule>
    <cfRule type="containsText" dxfId="3" priority="7" operator="containsText" text="DEFERRED">
      <formula>NOT(ISERROR(SEARCH("DEFERRED",K5)))</formula>
    </cfRule>
  </conditionalFormatting>
  <conditionalFormatting sqref="C16">
    <cfRule type="cellIs" dxfId="2" priority="2" operator="equal">
      <formula>"—"</formula>
    </cfRule>
  </conditionalFormatting>
  <conditionalFormatting sqref="H16">
    <cfRule type="cellIs" dxfId="1" priority="3" operator="equal">
      <formula>"—"</formula>
    </cfRule>
  </conditionalFormatting>
  <conditionalFormatting sqref="J17">
    <cfRule type="cellIs" dxfId="0" priority="1" operator="equal">
      <formul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Decision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2026-09-08T21:28:48Z</dcterms:created>
  <dcterms:modified xsi:type="dcterms:W3CDTF">2026-09-29T14:12:02Z</dcterms:modified>
</cp:coreProperties>
</file>