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fect Register" sheetId="1" state="visible" r:id="rId1"/>
  </sheets>
  <definedNames>
    <definedName name="_xlnm._FilterDatabase" localSheetId="0" hidden="1">'Defect Register'!$B$10:$O$26</definedName>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name val="Arial"/>
      <family val="2"/>
      <b val="1"/>
      <color rgb="FF1F3864"/>
      <sz val="14"/>
    </font>
    <font>
      <name val="Arial"/>
      <family val="2"/>
      <b val="1"/>
      <color rgb="FFFFFFFF"/>
      <sz val="10"/>
    </font>
    <font>
      <name val="Arial"/>
      <family val="2"/>
      <b val="1"/>
      <color rgb="FF000000"/>
      <sz val="10"/>
    </font>
    <font>
      <name val="Arial"/>
      <family val="2"/>
      <color rgb="FF000000"/>
      <sz val="10"/>
    </font>
  </fonts>
  <fills count="4">
    <fill>
      <patternFill/>
    </fill>
    <fill>
      <patternFill patternType="gray125"/>
    </fill>
    <fill>
      <patternFill patternType="solid">
        <fgColor rgb="FF2F5597"/>
        <bgColor indexed="64"/>
      </patternFill>
    </fill>
    <fill>
      <patternFill patternType="solid">
        <fgColor rgb="FFFFFFFF"/>
        <bgColor indexed="64"/>
      </patternFill>
    </fill>
  </fills>
  <borders count="5">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left" vertical="center"/>
    </xf>
    <xf numFmtId="0" fontId="2" fillId="2" borderId="2" applyAlignment="1" pivotButton="0" quotePrefix="0" xfId="0">
      <alignment horizontal="center" vertical="center" wrapText="1"/>
    </xf>
    <xf numFmtId="0" fontId="3" fillId="3" borderId="3" applyAlignment="1" pivotButton="0" quotePrefix="0" xfId="0">
      <alignment horizontal="center" vertical="top" wrapText="1"/>
    </xf>
    <xf numFmtId="164" fontId="4" fillId="3" borderId="4" applyAlignment="1" pivotButton="0" quotePrefix="0" xfId="0">
      <alignment vertical="top" wrapText="1"/>
    </xf>
    <xf numFmtId="0" fontId="4" fillId="3" borderId="4"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6"/>
  <sheetViews>
    <sheetView workbookViewId="0">
      <pane xSplit="2" ySplit="10" topLeftCell="C11" activePane="bottomRight" state="frozen"/>
      <selection pane="topRight" activeCell="A1" sqref="A1"/>
      <selection pane="bottomLeft" activeCell="A1" sqref="A1"/>
      <selection pane="bottomRight" activeCell="A1" sqref="A1"/>
    </sheetView>
  </sheetViews>
  <sheetFormatPr baseColWidth="8" defaultRowHeight="15"/>
  <cols>
    <col width="10" customWidth="1" min="2" max="2"/>
    <col width="12" customWidth="1" min="3" max="3"/>
    <col width="18" customWidth="1" min="4" max="4"/>
    <col width="48" customWidth="1" min="5" max="5"/>
    <col width="28" customWidth="1" min="6" max="6"/>
    <col width="10" customWidth="1" min="7" max="7"/>
    <col width="40" customWidth="1" min="8" max="8"/>
    <col width="9" customWidth="1" min="9" max="9"/>
    <col width="10" customWidth="1" min="10" max="10"/>
    <col width="44" customWidth="1" min="11" max="11"/>
    <col width="30" customWidth="1" min="12" max="12"/>
    <col width="48" customWidth="1" min="13" max="13"/>
    <col width="40" customWidth="1" min="14" max="14"/>
    <col width="12" customWidth="1" min="15" max="15"/>
  </cols>
  <sheetData>
    <row r="1">
      <c r="B1" s="1" t="inlineStr">
        <is>
          <t>Defect Register</t>
        </is>
      </c>
    </row>
    <row r="2">
      <c r="B2" t="inlineStr">
        <is>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0.2 (12/10/2026). Adds DEF-005 to DEF-016: DEF-007 to DEF-010, DEF-014, and DEF-015 from M3 integration testing (R. van der Merwe); DEF-005, DEF-006, DEF-011 to DEF-013, and DEF-016 raised by E. Lindsay. DEF-001 to DEF-004 unchanged. Version 0.1 (11/10/2026). Register created with DEF-001 to DEF-004.</t>
        </is>
      </c>
    </row>
    <row r="3">
      <c r="B3" t="inlineStr">
        <is>
          <t>Severity and priority scales below are a TEAM PROCESS CONVENTION, not a domain value from the requirements.</t>
        </is>
      </c>
    </row>
    <row r="4">
      <c r="B4" t="inlineStr">
        <is>
          <t>S1 Critical — an acceptance criterion cannot be met, or data lost, corrupted or exposed. Blocks release.</t>
        </is>
      </c>
    </row>
    <row r="5">
      <c r="B5" t="inlineStr">
        <is>
          <t>S2 Major — a requirement only partly met, or a documented control does not hold in some case. Release only with the limitation recorded.</t>
        </is>
      </c>
    </row>
    <row r="6">
      <c r="B6" t="inlineStr">
        <is>
          <t>S3 Minor — incorrect behaviour with a workaround, or code and record disagree.</t>
        </is>
      </c>
    </row>
    <row r="7">
      <c r="B7" t="inlineStr">
        <is>
          <t>S4 Trivial — cosmetic or documentation only.</t>
        </is>
      </c>
    </row>
    <row r="8">
      <c r="B8" t="inlineStr">
        <is>
          <t>P1 before the M3 release candidate · P2 before M4 · P3 backlog.</t>
        </is>
      </c>
    </row>
    <row r="10">
      <c r="B10" s="2" t="inlineStr">
        <is>
          <t>ID</t>
        </is>
      </c>
      <c r="C10" s="2" t="inlineStr">
        <is>
          <t>Date raised</t>
        </is>
      </c>
      <c r="D10" s="2" t="inlineStr">
        <is>
          <t>Found by</t>
        </is>
      </c>
      <c r="E10" s="2" t="inlineStr">
        <is>
          <t>Defect</t>
        </is>
      </c>
      <c r="F10" s="2" t="inlineStr">
        <is>
          <t>Affects (requirement / artefact)</t>
        </is>
      </c>
      <c r="G10" s="2" t="inlineStr">
        <is>
          <t>Severity</t>
        </is>
      </c>
      <c r="H10" s="2" t="inlineStr">
        <is>
          <t>Business impact</t>
        </is>
      </c>
      <c r="I10" s="2" t="inlineStr">
        <is>
          <t>Priority</t>
        </is>
      </c>
      <c r="J10" s="2" t="inlineStr">
        <is>
          <t>Status</t>
        </is>
      </c>
      <c r="K10" s="2" t="inlineStr">
        <is>
          <t>Fix</t>
        </is>
      </c>
      <c r="L10" s="2" t="inlineStr">
        <is>
          <t>Fix reference</t>
        </is>
      </c>
      <c r="M10" s="2" t="inlineStr">
        <is>
          <t>Regression evidence</t>
        </is>
      </c>
      <c r="N10" s="2" t="inlineStr">
        <is>
          <t>Block or residual risk</t>
        </is>
      </c>
      <c r="O10" s="2" t="inlineStr">
        <is>
          <t>Owner</t>
        </is>
      </c>
    </row>
    <row r="11" ht="140" customHeight="1">
      <c r="B11" s="3" t="inlineStr">
        <is>
          <t>DEF-001</t>
        </is>
      </c>
      <c r="C11" s="4">
        <f>DATE(2026,10,11)</f>
        <v/>
      </c>
      <c r="D11" s="5" t="inlineStr">
        <is>
          <t>Review (M3 Phase 0 records)</t>
        </is>
      </c>
      <c r="E11" s="5" t="inlineStr">
        <is>
          <t>Risk Register V0.6: the band conditional formatting covered I3:I17 and the filter covered B2:P15, so RSK-016 to RSK-020 had no band colour and fell outside the filter.</t>
        </is>
      </c>
      <c r="F11" s="5" t="inlineStr">
        <is>
          <t>Risk Register (controlled artefact)</t>
        </is>
      </c>
      <c r="G11" s="5" t="inlineStr">
        <is>
          <t>S3</t>
        </is>
      </c>
      <c r="H11" s="5" t="inlineStr">
        <is>
          <t>High-priority risks RSK-016 and RSK-020 were not visibly banded, and filtering the register silently omitted five risks. A review relying on the filter would miss them.</t>
        </is>
      </c>
      <c r="I11" s="5" t="inlineStr">
        <is>
          <t>P1</t>
        </is>
      </c>
      <c r="J11" s="5" t="inlineStr">
        <is>
          <t>Closed</t>
        </is>
      </c>
      <c r="K11" s="5" t="inlineStr">
        <is>
          <t>Ranges extended to I3:I23 and B2:P23 in Risk Register V0.7, covering every row including RSK-021.</t>
        </is>
      </c>
      <c r="L11" s="5" t="inlineStr">
        <is>
          <t>Commit 6598b58 (Risk Register V0.7)</t>
        </is>
      </c>
      <c r="M11" s="5" t="inlineStr">
        <is>
          <t>Read-back of the V0.7 workbook: formatting range I3:I23, filter B2:P23, zero existing cells changed. No automated regression test exists for workbook formatting.</t>
        </is>
      </c>
      <c r="N11" s="5" t="inlineStr">
        <is>
          <t>Residual: a future row appended beyond row 23 needs the ranges extended again. No release block.</t>
        </is>
      </c>
      <c r="O11" s="5" t="inlineStr">
        <is>
          <t>Ethan</t>
        </is>
      </c>
    </row>
    <row r="12" ht="140" customHeight="1">
      <c r="B12" s="3" t="inlineStr">
        <is>
          <t>DEF-002</t>
        </is>
      </c>
      <c r="C12" s="4">
        <f>DATE(2026,10,11)</f>
        <v/>
      </c>
      <c r="D12" s="5" t="inlineStr">
        <is>
          <t>Review (OpenAPI update)</t>
        </is>
      </c>
      <c r="E12" s="5" t="inlineStr">
        <is>
          <t>docs/api/openapi.yaml did not list INTERNAL_ERROR in Problem.code, although the error handler has always sent it for every unrecognised error.</t>
        </is>
      </c>
      <c r="F12" s="5" t="inlineStr">
        <is>
          <t>DEC-015, docs/api/openapi.yaml, src/middleware/errorHandler.js</t>
        </is>
      </c>
      <c r="G12" s="5" t="inlineStr">
        <is>
          <t>S3</t>
        </is>
      </c>
      <c r="H12" s="5" t="inlineStr">
        <is>
          <t>A client generated from the contract would treat the 500 problem's code as undocumented. The contract understated what the API returns.</t>
        </is>
      </c>
      <c r="I12" s="5" t="inlineStr">
        <is>
          <t>P1</t>
        </is>
      </c>
      <c r="J12" s="5" t="inlineStr">
        <is>
          <t>Closed</t>
        </is>
      </c>
      <c r="K12" s="5" t="inlineStr">
        <is>
          <t>INTERNAL_ERROR added to Problem.code with the three new Phase 0 codes. A contract test now derives the code set from src/errors.js and the error handler at run time and requires it to equal the documented set.</t>
        </is>
      </c>
      <c r="L12" s="5" t="inlineStr">
        <is>
          <t>Commit 70d1825 (fix); commit 4921f4c (regression test)</t>
        </is>
      </c>
      <c r="M12" s="5" t="inlineStr">
        <is>
          <t>tests/openapiContract.test.js. Negative verification NV-25 (removing INTERNAL_ERROR fails the test) and NV-26 (adding an undocumented error type fails the test), docs/evidence/M3-P0/.</t>
        </is>
      </c>
      <c r="N12" s="5" t="inlineStr">
        <is>
          <t>None. No release block.</t>
        </is>
      </c>
      <c r="O12" s="5" t="inlineStr">
        <is>
          <t>Ethan</t>
        </is>
      </c>
    </row>
    <row r="13" ht="140" customHeight="1">
      <c r="B13" s="3" t="inlineStr">
        <is>
          <t>DEF-003</t>
        </is>
      </c>
      <c r="C13" s="4">
        <f>DATE(2026,10,11)</f>
        <v/>
      </c>
      <c r="D13" s="5" t="inlineStr">
        <is>
          <t>Self-review before first commit</t>
        </is>
      </c>
      <c r="E13" s="5" t="inlineStr">
        <is>
          <t>Near miss: tests/config.test.js held a literal credential-shaped MongoDB URI (fake value) that the CI secret scan could flag. Caught before it was committed.</t>
        </is>
      </c>
      <c r="F13" s="5" t="inlineStr">
        <is>
          <t>NFR-3.5, CI secret-scan job</t>
        </is>
      </c>
      <c r="G13" s="5" t="inlineStr">
        <is>
          <t>S4</t>
        </is>
      </c>
      <c r="H13" s="5" t="inlineStr">
        <is>
          <t>None realised. Had it been committed, a secret-scan failure would have blocked merging, and the string would sit permanently in history (NFR-3.5 is assessed across the full history).</t>
        </is>
      </c>
      <c r="I13" s="5" t="inlineStr">
        <is>
          <t>P1</t>
        </is>
      </c>
      <c r="J13" s="5" t="inlineStr">
        <is>
          <t>Closed</t>
        </is>
      </c>
      <c r="K13" s="5" t="inlineStr">
        <is>
          <t>The fake credential is assembled at run time from parts, so no credential-shaped literal exists in the file.</t>
        </is>
      </c>
      <c r="L13" s="5" t="inlineStr">
        <is>
          <t>Commit 70d1825 (the literal was replaced before that first commit)</t>
        </is>
      </c>
      <c r="M13" s="5" t="inlineStr">
        <is>
          <t>git log --all -S on the literal returns no commit on any ref (checked 11/10/2026). Gitleaks full-history secret scan passed on the code PR #83 at commit bc867f3 (GitHub Actions run 38152562066, job "Secret scan (full history)", 11/10/2026).</t>
        </is>
      </c>
      <c r="N13" s="5" t="inlineStr">
        <is>
          <t>None. No history exposure.</t>
        </is>
      </c>
      <c r="O13" s="5" t="inlineStr">
        <is>
          <t>Ethan</t>
        </is>
      </c>
    </row>
    <row r="14" ht="140" customHeight="1">
      <c r="B14" s="3" t="inlineStr">
        <is>
          <t>DEF-004</t>
        </is>
      </c>
      <c r="C14" s="4">
        <f>DATE(2026,10,11)</f>
        <v/>
      </c>
      <c r="D14" s="5" t="inlineStr">
        <is>
          <t>Review before the first smoke run</t>
        </is>
      </c>
      <c r="E14" s="5" t="inlineStr">
        <is>
          <t>The smoke check's usage comment and the README directed the reader to --base-url http://localhost:&lt;port&gt;, while the server binds IPv4 loopback only (127.0.0.1, DEC-003). On Windows, Node can resolve localhost to ::1 first, so the smoke run could fail to connect.</t>
        </is>
      </c>
      <c r="F14" s="5" t="inlineStr">
        <is>
          <t>DEC-018 evidence item 2 (smoke check), scripts/smoke/phase0-smoke.js, README.md</t>
        </is>
      </c>
      <c r="G14" s="5" t="inlineStr">
        <is>
          <t>S3</t>
        </is>
      </c>
      <c r="H14" s="5" t="inlineStr">
        <is>
          <t>A connection failure in the smoke run would read as a fault in the application, so the reachability evidence could be wrongly reported as failed, or time spent chasing a non-existent defect.</t>
        </is>
      </c>
      <c r="I14" s="5" t="inlineStr">
        <is>
          <t>P1</t>
        </is>
      </c>
      <c r="J14" s="5" t="inlineStr">
        <is>
          <t>Closed</t>
        </is>
      </c>
      <c r="K14" s="5" t="inlineStr">
        <is>
          <t>Both smoke-check references changed to http://127.0.0.1:&lt;port&gt;. The browser guidance (README, session.js, DEC-018) is deliberately unchanged: a browser falls back from ::1 to 127.0.0.1 itself, and localhost is what makes the Secure __Host-sid cookie work over plain HTTP.</t>
        </is>
      </c>
      <c r="L14" s="5" t="inlineStr">
        <is>
          <t>Commit c1514d0 (PR #83)</t>
        </is>
      </c>
      <c r="M14" s="5" t="inlineStr">
        <is>
          <t>The corrected text in scripts/smoke/phase0-smoke.js and README.md (commit c1514d0), with the reasoning above. No automated test: the defect is in documentation, not behaviour. Not observed failing; found by review before the first run.</t>
        </is>
      </c>
      <c r="N14" s="5" t="inlineStr">
        <is>
          <t>None. No release block.</t>
        </is>
      </c>
      <c r="O14" s="5" t="inlineStr">
        <is>
          <t>Ethan</t>
        </is>
      </c>
    </row>
    <row r="15" ht="140" customHeight="1">
      <c r="B15" s="3" t="inlineStr">
        <is>
          <t>DEF-005</t>
        </is>
      </c>
      <c r="C15" s="4">
        <f>DATE(2026,10,12)</f>
        <v/>
      </c>
      <c r="D15" s="5" t="inlineStr">
        <is>
          <t>Ethan</t>
        </is>
      </c>
      <c r="E15" s="5" t="inlineStr">
        <is>
          <t>DB-01 v0.3's collection table says roles is read by the guard; DEC-003 v0.2's grant list doesn't include it. Two merged baselined documents disagreeing. No code reads roles today so nothing breaks.</t>
        </is>
      </c>
      <c r="F15" s="5" t="inlineStr">
        <is>
          <t>DB-01 v0.3 (collection table), DEC-003 v0.2 (database users grant list)</t>
        </is>
      </c>
      <c r="G15" s="5" t="inlineStr">
        <is>
          <t>S3</t>
        </is>
      </c>
      <c r="H15" s="5" t="inlineStr">
        <is>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is>
      </c>
      <c r="I15" s="5" t="inlineStr">
        <is>
          <t>P2</t>
        </is>
      </c>
      <c r="J15" s="5" t="inlineStr">
        <is>
          <t>Open</t>
        </is>
      </c>
      <c r="K15" s="5" t="inlineStr">
        <is>
          <t>Pending</t>
        </is>
      </c>
      <c r="L15" s="5" t="inlineStr">
        <is>
          <t>Pending</t>
        </is>
      </c>
      <c r="M15" s="5" t="inlineStr">
        <is>
          <t>Pending</t>
        </is>
      </c>
      <c r="N15" s="5" t="inlineStr">
        <is>
          <t>Not blocking. Residual: the two documents stay in conflict until one is corrected through a controlled change.</t>
        </is>
      </c>
      <c r="O15" s="5" t="inlineStr">
        <is>
          <t>Ethan</t>
        </is>
      </c>
    </row>
    <row r="16" ht="140" customHeight="1">
      <c r="B16" s="3" t="inlineStr">
        <is>
          <t>DEF-006</t>
        </is>
      </c>
      <c r="C16" s="4">
        <f>DATE(2026,10,12)</f>
        <v/>
      </c>
      <c r="D16" s="5" t="inlineStr">
        <is>
          <t>Ethan</t>
        </is>
      </c>
      <c r="E16" s="5" t="inlineStr">
        <is>
          <t>The test cluster database is not dropped per run, contradicting DEC-003's test-environment row and our own smoke script docstring.</t>
        </is>
      </c>
      <c r="F16" s="5" t="inlineStr">
        <is>
          <t>DEC-003 v0.2 (environment map, Test row), scripts/smoke/phase0-smoke.js</t>
        </is>
      </c>
      <c r="G16" s="5" t="inlineStr">
        <is>
          <t>S3</t>
        </is>
      </c>
      <c r="H16" s="5" t="inlineStr">
        <is>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is>
      </c>
      <c r="I16" s="5" t="inlineStr">
        <is>
          <t>P1</t>
        </is>
      </c>
      <c r="J16" s="5" t="inlineStr">
        <is>
          <t>Open</t>
        </is>
      </c>
      <c r="K16" s="5" t="inlineStr">
        <is>
          <t>Pending</t>
        </is>
      </c>
      <c r="L16" s="5" t="inlineStr">
        <is>
          <t>Pending</t>
        </is>
      </c>
      <c r="M16" s="5" t="inlineStr">
        <is>
          <t>Pending</t>
        </is>
      </c>
      <c r="N16" s="5" t="inlineStr">
        <is>
          <t>Not release-blocking. Residual: any future cluster-based evidence carries the caveat that the database was not clean at the start.</t>
        </is>
      </c>
      <c r="O16" s="5" t="inlineStr">
        <is>
          <t>Ethan</t>
        </is>
      </c>
    </row>
    <row r="17" ht="140" customHeight="1">
      <c r="B17" s="3" t="inlineStr">
        <is>
          <t>DEF-007</t>
        </is>
      </c>
      <c r="C17" s="4">
        <f>DATE(2026,10,12)</f>
        <v/>
      </c>
      <c r="D17" s="5" t="inlineStr">
        <is>
          <t>Integration test run (docs/evidence/M3_API_Test_Run.txt, commit 549854d)</t>
        </is>
      </c>
      <c r="E17" s="5" t="inlineStr">
        <is>
          <t>Replay returns 200 with a reduced body and no Idempotent-Replayed header. DEC-015 §3 requires the same status and body as the original plus the header. Predates PR #83; originated in the M2 slice.</t>
        </is>
      </c>
      <c r="F17" s="5" t="inlineStr">
        <is>
          <t>DEC-015 §3, docs/api/openapi.yaml, src/routes/requestRoutes.js:76, src/services/statusTransitionService.js:149-155 (tests/integration/idempotencyKey.integration.test.js case 2b)</t>
        </is>
      </c>
      <c r="G17" s="5" t="inlineStr">
        <is>
          <t>S3</t>
        </is>
      </c>
      <c r="H17" s="5" t="inlineStr">
        <is>
          <t>A client retrying after a timeout cannot treat the retry as the original response and has to handle a second response shape.</t>
        </is>
      </c>
      <c r="I17" s="5" t="inlineStr">
        <is>
          <t>P1</t>
        </is>
      </c>
      <c r="J17" s="5" t="inlineStr">
        <is>
          <t>Open</t>
        </is>
      </c>
      <c r="K17" s="5" t="inlineStr">
        <is>
          <t>Pending, separate PR</t>
        </is>
      </c>
      <c r="L17" s="5" t="inlineStr">
        <is>
          <t>Pending, separate PR</t>
        </is>
      </c>
      <c r="M17" s="5" t="inlineStr">
        <is>
          <t>Pending: the same tests re-run unchanged after the fix</t>
        </is>
      </c>
      <c r="N17" s="5" t="inlineStr">
        <is>
          <t>Open. Not a release block under the scale (S3). No second history entry is written on a replay.</t>
        </is>
      </c>
      <c r="O17" s="5" t="inlineStr">
        <is>
          <t>Ethan (fix), Robert (tests)</t>
        </is>
      </c>
    </row>
    <row r="18" ht="140" customHeight="1">
      <c r="B18" s="3" t="inlineStr">
        <is>
          <t>DEF-008</t>
        </is>
      </c>
      <c r="C18" s="4">
        <f>DATE(2026,10,12)</f>
        <v/>
      </c>
      <c r="D18" s="5" t="inlineStr">
        <is>
          <t>Integration test run (docs/evidence/M3_API_Test_Run.txt, commit 549854d)</t>
        </is>
      </c>
      <c r="E18" s="5" t="inlineStr">
        <is>
          <t>412 body carries no current ETag; only the stale version, in the detail text. DEC-015 §2. Predates PR #83; originated in the M2 slice.</t>
        </is>
      </c>
      <c r="F18" s="5" t="inlineStr">
        <is>
          <t>DEC-015 §2, src/errors.js:56-60, src/repositories/requestRepository.js:43, src/services/statusTransitionService.js:75 (tests/integration/ifMatchConflict.integration.test.js)</t>
        </is>
      </c>
      <c r="G18" s="5" t="inlineStr">
        <is>
          <t>S3</t>
        </is>
      </c>
      <c r="H18" s="5" t="inlineStr">
        <is>
          <t>After a conflict the client must make a second request to learn the current version before it can retry.</t>
        </is>
      </c>
      <c r="I18" s="5" t="inlineStr">
        <is>
          <t>P1</t>
        </is>
      </c>
      <c r="J18" s="5" t="inlineStr">
        <is>
          <t>Open</t>
        </is>
      </c>
      <c r="K18" s="5" t="inlineStr">
        <is>
          <t>Pending, separate PR</t>
        </is>
      </c>
      <c r="L18" s="5" t="inlineStr">
        <is>
          <t>Pending, separate PR</t>
        </is>
      </c>
      <c r="M18" s="5" t="inlineStr">
        <is>
          <t>Pending: the same tests re-run unchanged after the fix</t>
        </is>
      </c>
      <c r="N18" s="5" t="inlineStr">
        <is>
          <t>Open. Not a release block under the scale (S3). The stale write itself is refused and nothing is changed.</t>
        </is>
      </c>
      <c r="O18" s="5" t="inlineStr">
        <is>
          <t>Ethan (fix), Robert (tests)</t>
        </is>
      </c>
    </row>
    <row r="19" ht="140" customHeight="1">
      <c r="B19" s="3" t="inlineStr">
        <is>
          <t>DEF-009</t>
        </is>
      </c>
      <c r="C19" s="4">
        <f>DATE(2026,10,12)</f>
        <v/>
      </c>
      <c r="D19" s="5" t="inlineStr">
        <is>
          <t>Integration test run (docs/evidence/M3_API_Test_Run.txt, commit 549854d)</t>
        </is>
      </c>
      <c r="E19" s="5" t="inlineStr">
        <is>
          <t>Fingerprint omits method and path and is not canonical; a key used on request A is accepted on request B and returns A's result. Predates PR #83; originated in the M2 slice.</t>
        </is>
      </c>
      <c r="F19" s="5" t="inlineStr">
        <is>
          <t>DEC-015 §3, FR-6.7, src/routes/requestRoutes.js:35-36, src/repositories/historyRepository.js:35-36, src/services/statusTransitionService.js:54-57 (tests/integration/idempotencyKey.integration.test.js cases 2d and 2e)</t>
        </is>
      </c>
      <c r="G19" s="5" t="inlineStr">
        <is>
          <t>S2</t>
        </is>
      </c>
      <c r="H19" s="5" t="inlineStr">
        <is>
          <t>A client is told that a transition on request B succeeded when nothing happened to B. The same body with its members in another order is refused as a different payload.</t>
        </is>
      </c>
      <c r="I19" s="5" t="inlineStr">
        <is>
          <t>P1</t>
        </is>
      </c>
      <c r="J19" s="5" t="inlineStr">
        <is>
          <t>Open</t>
        </is>
      </c>
      <c r="K19" s="5" t="inlineStr">
        <is>
          <t>Pending, separate PR</t>
        </is>
      </c>
      <c r="L19" s="5" t="inlineStr">
        <is>
          <t>Pending, separate PR</t>
        </is>
      </c>
      <c r="M19" s="5" t="inlineStr">
        <is>
          <t>Pending: the same tests re-run unchanged after the fix</t>
        </is>
      </c>
      <c r="N19" s="5" t="inlineStr">
        <is>
          <t>Open. S2: release only with the limitation recorded, unless fixed first. Neither request gains a history entry, so no data is written wrongly; the response is false.</t>
        </is>
      </c>
      <c r="O19" s="5" t="inlineStr">
        <is>
          <t>Ethan (fix), Robert (tests)</t>
        </is>
      </c>
    </row>
    <row r="20" ht="140" customHeight="1">
      <c r="B20" s="3" t="inlineStr">
        <is>
          <t>DEF-010</t>
        </is>
      </c>
      <c r="C20" s="4">
        <f>DATE(2026,10,12)</f>
        <v/>
      </c>
      <c r="D20" s="5" t="inlineStr">
        <is>
          <t>Integration test run (docs/evidence/M3_API_Test_Run.txt, commit 549854d)</t>
        </is>
      </c>
      <c r="E20" s="5" t="inlineStr">
        <is>
          <t>Problem type is idempotency-conflict, not idempotency-key-reused. DEC-015 §3. Predates PR #83; originated in the M2 slice.</t>
        </is>
      </c>
      <c r="F20" s="5" t="inlineStr">
        <is>
          <t>DEC-015 §3, docs/api/openapi.yaml, tests/openapiContract.test.js, src/errors.js:113 (tests/integration/idempotencyKey.integration.test.js case 2c)</t>
        </is>
      </c>
      <c r="G20" s="5" t="inlineStr">
        <is>
          <t>S3</t>
        </is>
      </c>
      <c r="H20" s="5" t="inlineStr">
        <is>
          <t>Code and decision record disagree on a name. A client written from DEC-015 would not recognise the problem type. The 422 status is correct.</t>
        </is>
      </c>
      <c r="I20" s="5" t="inlineStr">
        <is>
          <t>P1</t>
        </is>
      </c>
      <c r="J20" s="5" t="inlineStr">
        <is>
          <t>Open</t>
        </is>
      </c>
      <c r="K20" s="5" t="inlineStr">
        <is>
          <t>Pending, separate PR</t>
        </is>
      </c>
      <c r="L20" s="5" t="inlineStr">
        <is>
          <t>Pending, separate PR</t>
        </is>
      </c>
      <c r="M20" s="5" t="inlineStr">
        <is>
          <t>Pending: the same tests re-run unchanged after the fix</t>
        </is>
      </c>
      <c r="N20" s="5" t="inlineStr">
        <is>
          <t>Open. Not a release block under the scale (S3).</t>
        </is>
      </c>
      <c r="O20" s="5" t="inlineStr">
        <is>
          <t>Ethan (fix), Robert (tests)</t>
        </is>
      </c>
    </row>
    <row r="21" ht="140" customHeight="1">
      <c r="B21" s="3" t="inlineStr">
        <is>
          <t>DEF-011</t>
        </is>
      </c>
      <c r="C21" s="4">
        <f>DATE(2026,10,12)</f>
        <v/>
      </c>
      <c r="D21" s="5" t="inlineStr">
        <is>
          <t>Ethan</t>
        </is>
      </c>
      <c r="E21" s="5" t="inlineStr">
        <is>
          <t>Wrong role on a transition returns 422; DEC-015 says 403. (Origin: src/services/statusTransitionService.js line 88 throws TransitionError for every refused transition, including the role refusal from checkTransition in src/domain/requestStatus.js line 127.)</t>
        </is>
      </c>
      <c r="F21" s="5" t="inlineStr">
        <is>
          <t>DEC-015, src/services/statusTransitionService.js, src/domain/requestStatus.js (checkTransition)</t>
        </is>
      </c>
      <c r="G21" s="5" t="inlineStr">
        <is>
          <t>S3</t>
        </is>
      </c>
      <c r="H21" s="5" t="inlineStr">
        <is>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is>
      </c>
      <c r="I21" s="5" t="inlineStr">
        <is>
          <t>P1</t>
        </is>
      </c>
      <c r="J21" s="5" t="inlineStr">
        <is>
          <t>Open</t>
        </is>
      </c>
      <c r="K21" s="5" t="inlineStr">
        <is>
          <t>Pending</t>
        </is>
      </c>
      <c r="L21" s="5" t="inlineStr">
        <is>
          <t>Pending</t>
        </is>
      </c>
      <c r="M21" s="5" t="inlineStr">
        <is>
          <t>Pending: the same tests re-run unchanged after the fix (wrongRoleTransition.integration.test.js)</t>
        </is>
      </c>
      <c r="N21" s="5" t="inlineStr">
        <is>
          <t>Not blocking. Fix with DEF-007 to DEF-010 in the same PR, same file, same decision.</t>
        </is>
      </c>
      <c r="O21" s="5" t="inlineStr">
        <is>
          <t>Ethan</t>
        </is>
      </c>
    </row>
    <row r="22" ht="140" customHeight="1">
      <c r="B22" s="3" t="inlineStr">
        <is>
          <t>DEF-012</t>
        </is>
      </c>
      <c r="C22" s="4">
        <f>DATE(2026,10,12)</f>
        <v/>
      </c>
      <c r="D22" s="5" t="inlineStr">
        <is>
          <t>Ethan</t>
        </is>
      </c>
      <c r="E22" s="5" t="inlineStr">
        <is>
          <t>A malformed request id returns 500 rather than 400 — unhandled exception on a bad path parameter.</t>
        </is>
      </c>
      <c r="F22" s="5" t="inlineStr">
        <is>
          <t>API: request id path parameter</t>
        </is>
      </c>
      <c r="G22" s="5" t="inlineStr">
        <is>
          <t>S3</t>
        </is>
      </c>
      <c r="H22" s="5" t="inlineStr">
        <is>
          <t>A client sending a bad id gets an unhandled server error rather than a clear 400, which says the fault is ours when it is theirs, and fills the logs with exceptions that mask real ones.</t>
        </is>
      </c>
      <c r="I22" s="5" t="inlineStr">
        <is>
          <t>P1</t>
        </is>
      </c>
      <c r="J22" s="5" t="inlineStr">
        <is>
          <t>Open</t>
        </is>
      </c>
      <c r="K22" s="5" t="inlineStr">
        <is>
          <t>Pending</t>
        </is>
      </c>
      <c r="L22" s="5" t="inlineStr">
        <is>
          <t>Pending</t>
        </is>
      </c>
      <c r="M22" s="5" t="inlineStr">
        <is>
          <t>Pending</t>
        </is>
      </c>
      <c r="N22" s="5" t="inlineStr">
        <is>
          <t>Not blocking. Trivial fix, same PR.</t>
        </is>
      </c>
      <c r="O22" s="5" t="inlineStr">
        <is>
          <t>Ethan</t>
        </is>
      </c>
    </row>
    <row r="23" ht="140" customHeight="1">
      <c r="B23" s="3" t="inlineStr">
        <is>
          <t>DEF-013</t>
        </is>
      </c>
      <c r="C23" s="4">
        <f>DATE(2026,10,12)</f>
        <v/>
      </c>
      <c r="D23" s="5" t="inlineStr">
        <is>
          <t>Ethan</t>
        </is>
      </c>
      <c r="E23" s="5" t="inlineStr">
        <is>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is>
      </c>
      <c r="F23" s="5" t="inlineStr">
        <is>
          <t>tests/app.test.js</t>
        </is>
      </c>
      <c r="G23" s="5" t="inlineStr">
        <is>
          <t>S3</t>
        </is>
      </c>
      <c r="H23" s="5" t="inlineStr">
        <is>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is>
      </c>
      <c r="I23" s="5" t="inlineStr">
        <is>
          <t>P1 — not because of the test, but because the uncertainty is about a security control.</t>
        </is>
      </c>
      <c r="J23" s="5" t="inlineStr">
        <is>
          <t>Open</t>
        </is>
      </c>
      <c r="K23" s="5" t="inlineStr">
        <is>
          <t>Pending</t>
        </is>
      </c>
      <c r="L23" s="5" t="inlineStr">
        <is>
          <t>Pending</t>
        </is>
      </c>
      <c r="M23" s="5" t="inlineStr">
        <is>
          <t>Pending. The 100-run full-suite capture loop (2026-10-12) produced 0 failures, so the failure message is still not captured.</t>
        </is>
      </c>
      <c r="N23" s="5" t="inlineStr">
        <is>
          <t>Residual risk, and it goes in the Release Evidence Summary by name. No evidence of a real defect after 300 runs, and no explanation either.</t>
        </is>
      </c>
      <c r="O23" s="5" t="inlineStr">
        <is>
          <t>Ethan</t>
        </is>
      </c>
    </row>
    <row r="24" ht="140" customHeight="1">
      <c r="B24" s="3" t="inlineStr">
        <is>
          <t>DEF-014</t>
        </is>
      </c>
      <c r="C24" s="4">
        <f>DATE(2026,10,12)</f>
        <v/>
      </c>
      <c r="D24" s="5" t="inlineStr">
        <is>
          <t>R. van der Merwe (via Negative Verifications)</t>
        </is>
      </c>
      <c r="E24" s="5" t="inlineStr">
        <is>
          <t>Unique index on (actorId, idempotencyKey) fails to build. The app role in DEC-003 has no createIndex privilege, so indexes cannot build on any cluster (test, staging, or production).</t>
        </is>
      </c>
      <c r="F24" s="5" t="inlineStr">
        <is>
          <t>DEC-003 app role privileges / All environments</t>
        </is>
      </c>
      <c r="G24" s="5" t="inlineStr">
        <is>
          <t>S3</t>
        </is>
      </c>
      <c r="H24" s="5" t="inlineStr">
        <is>
          <t>None on the code as it stands: the application-level lookup, version check and transition rule each stop the duplicate before the insert. The index is the last line of defence DEC-015 §3 relies on for two requests carrying the same key at the same moment, and on this cluster it is absent or not unique, so that path is unprotected and cannot be tested there.</t>
        </is>
      </c>
      <c r="I24" s="5" t="inlineStr">
        <is>
          <t>P1</t>
        </is>
      </c>
      <c r="J24" s="5" t="inlineStr">
        <is>
          <t>Open</t>
        </is>
      </c>
      <c r="K24" s="5" t="inlineStr">
        <is>
          <t>Pending</t>
        </is>
      </c>
      <c r="L24" s="5" t="inlineStr">
        <is>
          <t>Pending</t>
        </is>
      </c>
      <c r="M24" s="5" t="inlineStr">
        <is>
          <t>Pending</t>
        </is>
      </c>
      <c r="N24" s="5" t="inlineStr">
        <is>
          <t>Open. Not a release block under the scale (S3). Residual: evidence from this cluster does not show the unique indexes acting.</t>
        </is>
      </c>
      <c r="O24" s="5" t="inlineStr">
        <is>
          <t>E. Lindsay</t>
        </is>
      </c>
    </row>
    <row r="25" ht="140" customHeight="1">
      <c r="B25" s="3" t="inlineStr">
        <is>
          <t>DEF-015</t>
        </is>
      </c>
      <c r="C25" s="4">
        <f>DATE(2026,10,12)</f>
        <v/>
      </c>
      <c r="D25" s="5" t="inlineStr">
        <is>
          <t>R. van der Merwe</t>
        </is>
      </c>
      <c r="E25" s="5" t="inlineStr">
        <is>
          <t>Unique index on (requestId, requestVersion) fails to build. The app role in DEC-003 has no createIndex privilege, so indexes cannot build on any cluster (test, staging, or production).</t>
        </is>
      </c>
      <c r="F25" s="5" t="inlineStr">
        <is>
          <t>DEC-003 app role privileges / All environments</t>
        </is>
      </c>
      <c r="G25" s="5" t="inlineStr">
        <is>
          <t>S3</t>
        </is>
      </c>
      <c r="H25" s="5" t="n"/>
      <c r="I25" s="5" t="inlineStr">
        <is>
          <t>P1</t>
        </is>
      </c>
      <c r="J25" s="5" t="inlineStr">
        <is>
          <t>Open</t>
        </is>
      </c>
      <c r="K25" s="5" t="inlineStr">
        <is>
          <t>Pending</t>
        </is>
      </c>
      <c r="L25" s="5" t="n"/>
      <c r="M25" s="5" t="inlineStr">
        <is>
          <t>Pending</t>
        </is>
      </c>
      <c r="N25" s="5" t="n"/>
      <c r="O25" s="5" t="inlineStr">
        <is>
          <t>E. Lindsay</t>
        </is>
      </c>
    </row>
    <row r="26" ht="140" customHeight="1">
      <c r="B26" s="3" t="inlineStr">
        <is>
          <t>DEF-016</t>
        </is>
      </c>
      <c r="C26" s="4">
        <f>DATE(2026,10,12)</f>
        <v/>
      </c>
      <c r="D26" s="5" t="inlineStr">
        <is>
          <t>E. Lindsay</t>
        </is>
      </c>
      <c r="E26" s="5" t="inlineStr">
        <is>
          <t>tests/app.test.js fails intermittently (second flaky test in suite).</t>
        </is>
      </c>
      <c r="F26" s="5" t="inlineStr">
        <is>
          <t>tests/app.test.js</t>
        </is>
      </c>
      <c r="G26" s="5" t="n"/>
      <c r="H26" s="5" t="n"/>
      <c r="I26" s="5" t="n"/>
      <c r="J26" s="5" t="inlineStr">
        <is>
          <t>Open</t>
        </is>
      </c>
      <c r="K26" s="5" t="inlineStr">
        <is>
          <t>Pending</t>
        </is>
      </c>
      <c r="L26" s="5" t="n"/>
      <c r="M26" s="5" t="inlineStr">
        <is>
          <t>Pending</t>
        </is>
      </c>
      <c r="N26" s="5" t="n"/>
      <c r="O26" s="5" t="inlineStr">
        <is>
          <t>E. Lindsay</t>
        </is>
      </c>
    </row>
  </sheetData>
  <autoFilter ref="B10:O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2026-10-11T15:42:55Z</dcterms:created>
  <dcterms:modified xsi:type="dcterms:W3CDTF">2026-10-12T17:51:22Z</dcterms:modified>
</cp:coreProperties>
</file>