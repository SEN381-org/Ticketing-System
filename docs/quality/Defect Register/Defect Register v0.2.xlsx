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gister" sheetId="1" state="visible" r:id="rId1"/>
  </sheets>
  <definedNames>
    <definedName name="_xlnm._FilterDatabase" localSheetId="0" hidden="1">'Defect Register'!$B$10:$O$23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family val="2"/>
      <b val="1"/>
      <color rgb="FF1F3864"/>
      <sz val="14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top" wrapText="1"/>
    </xf>
    <xf numFmtId="164" fontId="4" fillId="3" borderId="4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23"/>
  <sheetViews>
    <sheetView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48" customWidth="1" min="5" max="5"/>
    <col width="28" customWidth="1" min="6" max="6"/>
    <col width="10" customWidth="1" min="7" max="7"/>
    <col width="40" customWidth="1" min="8" max="8"/>
    <col width="9" customWidth="1" min="9" max="9"/>
    <col width="10" customWidth="1" min="10" max="10"/>
    <col width="44" customWidth="1" min="11" max="11"/>
    <col width="30" customWidth="1" min="12" max="12"/>
    <col width="48" customWidth="1" min="13" max="13"/>
    <col width="40" customWidth="1" min="14" max="14"/>
    <col width="12" customWidth="1" min="15" max="15"/>
  </cols>
  <sheetData>
    <row r="1">
      <c r="B1" s="1" t="inlineStr">
        <is>
          <t>Defect Register</t>
        </is>
      </c>
    </row>
    <row r="2">
      <c r="B2" t="inlineStr">
        <is>
          <t>M3 brief §12: "Maintain a simple defect record: defect -&gt; severity/impact -&gt; status -&gt; fix -&gt; regression evidence where corrected." §15: "Known defects | Open/closed | Business impact | Block or residual risk". Each row has a stable DEF identifier the RTM Defect/Status column can cite. Identifiers are never reused or renumbered; a closed defect stays in the register.</t>
        </is>
      </c>
    </row>
    <row r="3">
      <c r="B3" t="inlineStr">
        <is>
          <t>Severity and priority scales below are a TEAM PROCESS CONVENTION, not a domain value from the requirements.</t>
        </is>
      </c>
    </row>
    <row r="4">
      <c r="B4" t="inlineStr">
        <is>
          <t>S1 Critical — an acceptance criterion cannot be met, or data lost, corrupted or exposed. Blocks release.</t>
        </is>
      </c>
    </row>
    <row r="5">
      <c r="B5" t="inlineStr">
        <is>
          <t>S2 Major — a requirement only partly met, or a documented control does not hold in some case. Release only with the limitation recorded.</t>
        </is>
      </c>
    </row>
    <row r="6">
      <c r="B6" t="inlineStr">
        <is>
          <t>S3 Minor — incorrect behaviour with a workaround, or code and record disagree.</t>
        </is>
      </c>
    </row>
    <row r="7">
      <c r="B7" t="inlineStr">
        <is>
          <t>S4 Trivial — cosmetic or documentation only.</t>
        </is>
      </c>
    </row>
    <row r="8">
      <c r="B8" t="inlineStr">
        <is>
          <t>P1 before the M3 release candidate · P2 before M4 · P3 backlog.</t>
        </is>
      </c>
    </row>
    <row r="10">
      <c r="B10" s="2" t="inlineStr">
        <is>
          <t>ID</t>
        </is>
      </c>
      <c r="C10" s="2" t="inlineStr">
        <is>
          <t>Date raised</t>
        </is>
      </c>
      <c r="D10" s="2" t="inlineStr">
        <is>
          <t>Found by</t>
        </is>
      </c>
      <c r="E10" s="2" t="inlineStr">
        <is>
          <t>Defect</t>
        </is>
      </c>
      <c r="F10" s="2" t="inlineStr">
        <is>
          <t>Affects (requirement / artefact)</t>
        </is>
      </c>
      <c r="G10" s="2" t="inlineStr">
        <is>
          <t>Severity</t>
        </is>
      </c>
      <c r="H10" s="2" t="inlineStr">
        <is>
          <t>Business impact</t>
        </is>
      </c>
      <c r="I10" s="2" t="inlineStr">
        <is>
          <t>Priority</t>
        </is>
      </c>
      <c r="J10" s="2" t="inlineStr">
        <is>
          <t>Status</t>
        </is>
      </c>
      <c r="K10" s="2" t="inlineStr">
        <is>
          <t>Fix</t>
        </is>
      </c>
      <c r="L10" s="2" t="inlineStr">
        <is>
          <t>Fix reference</t>
        </is>
      </c>
      <c r="M10" s="2" t="inlineStr">
        <is>
          <t>Regression evidence</t>
        </is>
      </c>
      <c r="N10" s="2" t="inlineStr">
        <is>
          <t>Block or residual risk</t>
        </is>
      </c>
      <c r="O10" s="2" t="inlineStr">
        <is>
          <t>Owner</t>
        </is>
      </c>
    </row>
    <row r="11" ht="140" customHeight="1">
      <c r="B11" s="3" t="inlineStr">
        <is>
          <t>DEF-001</t>
        </is>
      </c>
      <c r="C11" s="4">
        <f>DATE(2026,10,11)</f>
        <v/>
      </c>
      <c r="D11" s="5" t="inlineStr">
        <is>
          <t>Review (M3 Phase 0 records)</t>
        </is>
      </c>
      <c r="E11" s="5" t="inlineStr">
        <is>
          <t>Risk Register V0.6: the band conditional formatting covered I3:I17 and the filter covered B2:P15, so RSK-016 to RSK-020 had no band colour and fell outside the filter.</t>
        </is>
      </c>
      <c r="F11" s="5" t="inlineStr">
        <is>
          <t>Risk Register (controlled artefact)</t>
        </is>
      </c>
      <c r="G11" s="5" t="inlineStr">
        <is>
          <t>S3</t>
        </is>
      </c>
      <c r="H11" s="5" t="inlineStr">
        <is>
          <t>High-priority risks RSK-016 and RSK-020 were not visibly banded, and filtering the register silently omitted five risks. A review relying on the filter would miss them.</t>
        </is>
      </c>
      <c r="I11" s="5" t="inlineStr">
        <is>
          <t>P1</t>
        </is>
      </c>
      <c r="J11" s="5" t="inlineStr">
        <is>
          <t>Closed</t>
        </is>
      </c>
      <c r="K11" s="5" t="inlineStr">
        <is>
          <t>Ranges extended to I3:I23 and B2:P23 in Risk Register V0.7, covering every row including RSK-021.</t>
        </is>
      </c>
      <c r="L11" s="5" t="inlineStr">
        <is>
          <t>Commit 6598b58 (Risk Register V0.7)</t>
        </is>
      </c>
      <c r="M11" s="5" t="inlineStr">
        <is>
          <t>Read-back of the V0.7 workbook: formatting range I3:I23, filter B2:P23, zero existing cells changed. No automated regression test exists for workbook formatting.</t>
        </is>
      </c>
      <c r="N11" s="5" t="inlineStr">
        <is>
          <t>Residual: a future row appended beyond row 23 needs the ranges extended again. No release block.</t>
        </is>
      </c>
      <c r="O11" s="5" t="inlineStr">
        <is>
          <t>Ethan</t>
        </is>
      </c>
    </row>
    <row r="12" ht="140" customHeight="1">
      <c r="B12" s="3" t="inlineStr">
        <is>
          <t>DEF-002</t>
        </is>
      </c>
      <c r="C12" s="4">
        <f>DATE(2026,10,11)</f>
        <v/>
      </c>
      <c r="D12" s="5" t="inlineStr">
        <is>
          <t>Review (OpenAPI update)</t>
        </is>
      </c>
      <c r="E12" s="5" t="inlineStr">
        <is>
          <t>docs/api/openapi.yaml did not list INTERNAL_ERROR in Problem.code, although the error handler has always sent it for every unrecognised error.</t>
        </is>
      </c>
      <c r="F12" s="5" t="inlineStr">
        <is>
          <t>DEC-015, docs/api/openapi.yaml, src/middleware/errorHandler.js</t>
        </is>
      </c>
      <c r="G12" s="5" t="inlineStr">
        <is>
          <t>S3</t>
        </is>
      </c>
      <c r="H12" s="5" t="inlineStr">
        <is>
          <t>A client generated from the contract would treat the 500 problem's code as undocumented. The contract understated what the API returns.</t>
        </is>
      </c>
      <c r="I12" s="5" t="inlineStr">
        <is>
          <t>P1</t>
        </is>
      </c>
      <c r="J12" s="5" t="inlineStr">
        <is>
          <t>Closed</t>
        </is>
      </c>
      <c r="K12" s="5" t="inlineStr">
        <is>
          <t>INTERNAL_ERROR added to Problem.code with the three new Phase 0 codes. A contract test now derives the code set from src/errors.js and the error handler at run time and requires it to equal the documented set.</t>
        </is>
      </c>
      <c r="L12" s="5" t="inlineStr">
        <is>
          <t>Commit 70d1825 (fix); commit 4921f4c (regression test)</t>
        </is>
      </c>
      <c r="M12" s="5" t="inlineStr">
        <is>
          <t>tests/openapiContract.test.js. Negative verification NV-25 (removing INTERNAL_ERROR fails the test) and NV-26 (adding an undocumented error type fails the test), docs/evidence/M3-P0/.</t>
        </is>
      </c>
      <c r="N12" s="5" t="inlineStr">
        <is>
          <t>None. No release block.</t>
        </is>
      </c>
      <c r="O12" s="5" t="inlineStr">
        <is>
          <t>Ethan</t>
        </is>
      </c>
    </row>
    <row r="13" ht="140" customHeight="1">
      <c r="B13" s="3" t="inlineStr">
        <is>
          <t>DEF-003</t>
        </is>
      </c>
      <c r="C13" s="4">
        <f>DATE(2026,10,11)</f>
        <v/>
      </c>
      <c r="D13" s="5" t="inlineStr">
        <is>
          <t>Self-review before first commit</t>
        </is>
      </c>
      <c r="E13" s="5" t="inlineStr">
        <is>
          <t>Near miss: tests/config.test.js held a literal credential-shaped MongoDB URI (fake value) that the CI secret scan could flag. Caught before it was committed.</t>
        </is>
      </c>
      <c r="F13" s="5" t="inlineStr">
        <is>
          <t>NFR-3.5, CI secret-scan job</t>
        </is>
      </c>
      <c r="G13" s="5" t="inlineStr">
        <is>
          <t>S4</t>
        </is>
      </c>
      <c r="H13" s="5" t="inlineStr">
        <is>
          <t>None realised. Had it been committed, a secret-scan failure would have blocked merging, and the string would sit permanently in history (NFR-3.5 is assessed across the full history).</t>
        </is>
      </c>
      <c r="I13" s="5" t="inlineStr">
        <is>
          <t>P1</t>
        </is>
      </c>
      <c r="J13" s="5" t="inlineStr">
        <is>
          <t>Closed</t>
        </is>
      </c>
      <c r="K13" s="5" t="inlineStr">
        <is>
          <t>The fake credential is assembled at run time from parts, so no credential-shaped literal exists in the file.</t>
        </is>
      </c>
      <c r="L13" s="5" t="inlineStr">
        <is>
          <t>Commit 70d1825 (the literal was replaced before that first commit)</t>
        </is>
      </c>
      <c r="M13" s="5" t="inlineStr">
        <is>
          <t>git log --all -S on the literal returns no commit on any ref (checked 11/10/2026). Gitleaks full-history secret scan passed on the code PR #83 at commit bc867f3 (GitHub Actions run 38152562066, job "Secret scan (full history)", 11/10/2026).</t>
        </is>
      </c>
      <c r="N13" s="5" t="inlineStr">
        <is>
          <t>None. No history exposure.</t>
        </is>
      </c>
      <c r="O13" s="5" t="inlineStr">
        <is>
          <t>Ethan</t>
        </is>
      </c>
    </row>
    <row r="14" ht="140" customHeight="1">
      <c r="B14" s="3" t="inlineStr">
        <is>
          <t>DEF-004</t>
        </is>
      </c>
      <c r="C14" s="4">
        <f>DATE(2026,10,11)</f>
        <v/>
      </c>
      <c r="D14" s="5" t="inlineStr">
        <is>
          <t>Review before the first smoke run</t>
        </is>
      </c>
      <c r="E14" s="5" t="inlineStr">
        <is>
          <t>The smoke check's usage comment and the README directed the reader to --base-url http://localhost:&lt;port&gt;, while the server binds IPv4 loopback only (127.0.0.1, DEC-003). On Windows, Node can resolve localhost to ::1 first, so the smoke run could fail to connect.</t>
        </is>
      </c>
      <c r="F14" s="5" t="inlineStr">
        <is>
          <t>DEC-018 evidence item 2 (smoke check), scripts/smoke/phase0-smoke.js, README.md</t>
        </is>
      </c>
      <c r="G14" s="5" t="inlineStr">
        <is>
          <t>S3</t>
        </is>
      </c>
      <c r="H14" s="5" t="inlineStr">
        <is>
          <t>A connection failure in the smoke run would read as a fault in the application, so the reachability evidence could be wrongly reported as failed, or time spent chasing a non-existent defect.</t>
        </is>
      </c>
      <c r="I14" s="5" t="inlineStr">
        <is>
          <t>P1</t>
        </is>
      </c>
      <c r="J14" s="5" t="inlineStr">
        <is>
          <t>Closed</t>
        </is>
      </c>
      <c r="K14" s="5" t="inlineStr">
        <is>
          <t>Both smoke-check references changed to http://127.0.0.1:&lt;port&gt;. The browser guidance (README, session.js, DEC-018) is deliberately unchanged: a browser falls back from ::1 to 127.0.0.1 itself, and localhost is what makes the Secure __Host-sid cookie work over plain HTTP.</t>
        </is>
      </c>
      <c r="L14" s="5" t="inlineStr">
        <is>
          <t>Commit c1514d0 (PR #83)</t>
        </is>
      </c>
      <c r="M14" s="5" t="inlineStr">
        <is>
          <t>The corrected text in scripts/smoke/phase0-smoke.js and README.md (commit c1514d0), with the reasoning above. No automated test: the defect is in documentation, not behaviour. Not observed failing; found by review before the first run.</t>
        </is>
      </c>
      <c r="N14" s="5" t="inlineStr">
        <is>
          <t>None. No release block.</t>
        </is>
      </c>
      <c r="O14" s="5" t="inlineStr">
        <is>
          <t>Ethan</t>
        </is>
      </c>
    </row>
    <row r="15" ht="140" customHeight="1">
      <c r="B15" s="3" t="inlineStr">
        <is>
          <t>DEF-005</t>
        </is>
      </c>
      <c r="C15" s="4">
        <f>DATE(2026,10,12)</f>
        <v/>
      </c>
      <c r="D15" s="5" t="inlineStr">
        <is>
          <t>Ethan</t>
        </is>
      </c>
      <c r="E15" s="5" t="inlineStr">
        <is>
          <t>DB-01 v0.3's collection table says roles is read by the guard; DEC-003 v0.2's grant list doesn't include it. Two merged baselined documents disagreeing. No code reads roles today so nothing breaks.</t>
        </is>
      </c>
      <c r="F15" s="5" t="inlineStr">
        <is>
          <t>DB-01 v0.3 (collection table), DEC-003 v0.2 (database users grant list)</t>
        </is>
      </c>
      <c r="G15" s="5" t="inlineStr">
        <is>
          <t>S3</t>
        </is>
      </c>
      <c r="H15" s="5" t="inlineStr">
        <is>
          <t>No behavioural effect today, because no code reads the roles collection. The impact is on future work and on the record's credibility: anyone implementing the guard from DB-01 v0.3 would hit an authorisation failure on the cluster, because DEC-003 v0.2 never grants it. Two merged baselined documents disagree, and whichever a developer reads first decides whether their code works.</t>
        </is>
      </c>
      <c r="I15" s="5" t="inlineStr">
        <is>
          <t>P2</t>
        </is>
      </c>
      <c r="J15" s="5" t="inlineStr">
        <is>
          <t>Open</t>
        </is>
      </c>
      <c r="K15" s="5" t="inlineStr">
        <is>
          <t>Pending</t>
        </is>
      </c>
      <c r="L15" s="5" t="inlineStr">
        <is>
          <t>Pending</t>
        </is>
      </c>
      <c r="M15" s="5" t="inlineStr">
        <is>
          <t>Pending</t>
        </is>
      </c>
      <c r="N15" s="5" t="inlineStr">
        <is>
          <t>Not blocking. Residual: the two documents stay in conflict until one is corrected through a controlled change.</t>
        </is>
      </c>
      <c r="O15" s="5" t="inlineStr">
        <is>
          <t>Ethan</t>
        </is>
      </c>
    </row>
    <row r="16" ht="140" customHeight="1">
      <c r="B16" s="3" t="inlineStr">
        <is>
          <t>DEF-006</t>
        </is>
      </c>
      <c r="C16" s="4">
        <f>DATE(2026,10,12)</f>
        <v/>
      </c>
      <c r="D16" s="5" t="inlineStr">
        <is>
          <t>Ethan</t>
        </is>
      </c>
      <c r="E16" s="5" t="inlineStr">
        <is>
          <t>The test cluster database is not dropped per run, contradicting DEC-003's test-environment row and our own smoke script docstring.</t>
        </is>
      </c>
      <c r="F16" s="5" t="inlineStr">
        <is>
          <t>DEC-003 v0.2 (environment map, Test row), scripts/smoke/phase0-smoke.js</t>
        </is>
      </c>
      <c r="G16" s="5" t="inlineStr">
        <is>
          <t>S3</t>
        </is>
      </c>
      <c r="H16" s="5" t="inlineStr">
        <is>
          <t>Synthetic users, requests and history entries accumulate, so runs are not isolated and a later run could pass or fail because of data an earlier one left. The existing evidence is unaffected — SMOKE-01 and the layer-3 verification test reachability and privileges, neither of which depends on an empty database — but the staging demonstration runs the critical journey against a cluster, and that one does.</t>
        </is>
      </c>
      <c r="I16" s="5" t="inlineStr">
        <is>
          <t>P1</t>
        </is>
      </c>
      <c r="J16" s="5" t="inlineStr">
        <is>
          <t>Open</t>
        </is>
      </c>
      <c r="K16" s="5" t="inlineStr">
        <is>
          <t>Pending</t>
        </is>
      </c>
      <c r="L16" s="5" t="inlineStr">
        <is>
          <t>Pending</t>
        </is>
      </c>
      <c r="M16" s="5" t="inlineStr">
        <is>
          <t>Pending</t>
        </is>
      </c>
      <c r="N16" s="5" t="inlineStr">
        <is>
          <t>Not release-blocking. Residual: any future cluster-based evidence carries the caveat that the database was not clean at the start.</t>
        </is>
      </c>
      <c r="O16" s="5" t="inlineStr">
        <is>
          <t>Ethan</t>
        </is>
      </c>
    </row>
    <row r="17" ht="140" customHeight="1">
      <c r="B17" s="3" t="inlineStr">
        <is>
          <t>DEF-007</t>
        </is>
      </c>
      <c r="C17" s="4">
        <f>DATE(2026,10,12)</f>
        <v/>
      </c>
      <c r="D17" s="5" t="inlineStr">
        <is>
          <t>Integration test run (docs/evidence/M3_API_Test_Run.txt, commit 549854d)</t>
        </is>
      </c>
      <c r="E17" s="5" t="inlineStr">
        <is>
          <t>Replay returns 200 with a reduced body and no Idempotent-Replayed header. DEC-015 §3 requires the same status and body as the original plus the header. Predates PR #83; originated in the M2 slice.</t>
        </is>
      </c>
      <c r="F17" s="5" t="inlineStr">
        <is>
          <t>DEC-015 §3, docs/api/openapi.yaml, src/routes/requestRoutes.js:76, src/services/statusTransitionService.js:149-155 (tests/integration/idempotencyKey.integration.test.js case 2b)</t>
        </is>
      </c>
      <c r="G17" s="5" t="inlineStr">
        <is>
          <t>S3</t>
        </is>
      </c>
      <c r="H17" s="5" t="inlineStr">
        <is>
          <t>A client retrying after a timeout cannot treat the retry as the original response and has to handle a second response shape.</t>
        </is>
      </c>
      <c r="I17" s="5" t="inlineStr">
        <is>
          <t>P1</t>
        </is>
      </c>
      <c r="J17" s="5" t="inlineStr">
        <is>
          <t>Open</t>
        </is>
      </c>
      <c r="K17" s="5" t="inlineStr">
        <is>
          <t>Pending, separate PR</t>
        </is>
      </c>
      <c r="L17" s="5" t="inlineStr">
        <is>
          <t>Pending, separate PR</t>
        </is>
      </c>
      <c r="M17" s="5" t="inlineStr">
        <is>
          <t>Pending: the same tests re-run unchanged after the fix</t>
        </is>
      </c>
      <c r="N17" s="5" t="inlineStr">
        <is>
          <t>Open. Not a release block under the scale (S3). No second history entry is written on a replay.</t>
        </is>
      </c>
      <c r="O17" s="5" t="inlineStr">
        <is>
          <t>Ethan (fix), Robert (tests)</t>
        </is>
      </c>
    </row>
    <row r="18" ht="140" customHeight="1">
      <c r="B18" s="3" t="inlineStr">
        <is>
          <t>DEF-008</t>
        </is>
      </c>
      <c r="C18" s="4">
        <f>DATE(2026,10,12)</f>
        <v/>
      </c>
      <c r="D18" s="5" t="inlineStr">
        <is>
          <t>Integration test run (docs/evidence/M3_API_Test_Run.txt, commit 549854d)</t>
        </is>
      </c>
      <c r="E18" s="5" t="inlineStr">
        <is>
          <t>412 body carries no current ETag; only the stale version, in the detail text. DEC-015 §2. Predates PR #83; originated in the M2 slice.</t>
        </is>
      </c>
      <c r="F18" s="5" t="inlineStr">
        <is>
          <t>DEC-015 §2, src/errors.js:56-60, src/repositories/requestRepository.js:43, src/services/statusTransitionService.js:75 (tests/integration/ifMatchConflict.integration.test.js)</t>
        </is>
      </c>
      <c r="G18" s="5" t="inlineStr">
        <is>
          <t>S3</t>
        </is>
      </c>
      <c r="H18" s="5" t="inlineStr">
        <is>
          <t>After a conflict the client must make a second request to learn the current version before it can retry.</t>
        </is>
      </c>
      <c r="I18" s="5" t="inlineStr">
        <is>
          <t>P1</t>
        </is>
      </c>
      <c r="J18" s="5" t="inlineStr">
        <is>
          <t>Open</t>
        </is>
      </c>
      <c r="K18" s="5" t="inlineStr">
        <is>
          <t>Pending, separate PR</t>
        </is>
      </c>
      <c r="L18" s="5" t="inlineStr">
        <is>
          <t>Pending, separate PR</t>
        </is>
      </c>
      <c r="M18" s="5" t="inlineStr">
        <is>
          <t>Pending: the same tests re-run unchanged after the fix</t>
        </is>
      </c>
      <c r="N18" s="5" t="inlineStr">
        <is>
          <t>Open. Not a release block under the scale (S3). The stale write itself is refused and nothing is changed.</t>
        </is>
      </c>
      <c r="O18" s="5" t="inlineStr">
        <is>
          <t>Ethan (fix), Robert (tests)</t>
        </is>
      </c>
    </row>
    <row r="19" ht="140" customHeight="1">
      <c r="B19" s="3" t="inlineStr">
        <is>
          <t>DEF-009</t>
        </is>
      </c>
      <c r="C19" s="4">
        <f>DATE(2026,10,12)</f>
        <v/>
      </c>
      <c r="D19" s="5" t="inlineStr">
        <is>
          <t>Integration test run (docs/evidence/M3_API_Test_Run.txt, commit 549854d)</t>
        </is>
      </c>
      <c r="E19" s="5" t="inlineStr">
        <is>
          <t>Fingerprint omits method and path and is not canonical; a key used on request A is accepted on request B and returns A's result. Predates PR #83; originated in the M2 slice.</t>
        </is>
      </c>
      <c r="F19" s="5" t="inlineStr">
        <is>
          <t>DEC-015 §3, FR-6.7, src/routes/requestRoutes.js:35-36, src/repositories/historyRepository.js:35-36, src/services/statusTransitionService.js:54-57 (tests/integration/idempotencyKey.integration.test.js cases 2d and 2e)</t>
        </is>
      </c>
      <c r="G19" s="5" t="inlineStr">
        <is>
          <t>S2</t>
        </is>
      </c>
      <c r="H19" s="5" t="inlineStr">
        <is>
          <t>A client is told that a transition on request B succeeded when nothing happened to B. The same body with its members in another order is refused as a different payload.</t>
        </is>
      </c>
      <c r="I19" s="5" t="inlineStr">
        <is>
          <t>P1</t>
        </is>
      </c>
      <c r="J19" s="5" t="inlineStr">
        <is>
          <t>Open</t>
        </is>
      </c>
      <c r="K19" s="5" t="inlineStr">
        <is>
          <t>Pending, separate PR</t>
        </is>
      </c>
      <c r="L19" s="5" t="inlineStr">
        <is>
          <t>Pending, separate PR</t>
        </is>
      </c>
      <c r="M19" s="5" t="inlineStr">
        <is>
          <t>Pending: the same tests re-run unchanged after the fix</t>
        </is>
      </c>
      <c r="N19" s="5" t="inlineStr">
        <is>
          <t>Open. S2: release only with the limitation recorded, unless fixed first. Neither request gains a history entry, so no data is written wrongly; the response is false.</t>
        </is>
      </c>
      <c r="O19" s="5" t="inlineStr">
        <is>
          <t>Ethan (fix), Robert (tests)</t>
        </is>
      </c>
    </row>
    <row r="20" ht="140" customHeight="1">
      <c r="B20" s="3" t="inlineStr">
        <is>
          <t>DEF-010</t>
        </is>
      </c>
      <c r="C20" s="4">
        <f>DATE(2026,10,12)</f>
        <v/>
      </c>
      <c r="D20" s="5" t="inlineStr">
        <is>
          <t>Integration test run (docs/evidence/M3_API_Test_Run.txt, commit 549854d)</t>
        </is>
      </c>
      <c r="E20" s="5" t="inlineStr">
        <is>
          <t>Problem type is idempotency-conflict, not idempotency-key-reused. DEC-015 §3. Predates PR #83; originated in the M2 slice.</t>
        </is>
      </c>
      <c r="F20" s="5" t="inlineStr">
        <is>
          <t>DEC-015 §3, docs/api/openapi.yaml, tests/openapiContract.test.js, src/errors.js:113 (tests/integration/idempotencyKey.integration.test.js case 2c)</t>
        </is>
      </c>
      <c r="G20" s="5" t="inlineStr">
        <is>
          <t>S4</t>
        </is>
      </c>
      <c r="H20" s="5" t="inlineStr">
        <is>
          <t>Code and decision record disagree on a name. A client written from DEC-015 would not recognise the problem type. The 422 status is correct.</t>
        </is>
      </c>
      <c r="I20" s="5" t="inlineStr">
        <is>
          <t>P1</t>
        </is>
      </c>
      <c r="J20" s="5" t="inlineStr">
        <is>
          <t>Open</t>
        </is>
      </c>
      <c r="K20" s="5" t="inlineStr">
        <is>
          <t>Pending, separate PR</t>
        </is>
      </c>
      <c r="L20" s="5" t="inlineStr">
        <is>
          <t>Pending, separate PR</t>
        </is>
      </c>
      <c r="M20" s="5" t="inlineStr">
        <is>
          <t>Pending: the same tests re-run unchanged after the fix</t>
        </is>
      </c>
      <c r="N20" s="5" t="inlineStr">
        <is>
          <t>Open. Not a release block under the scale (S4).</t>
        </is>
      </c>
      <c r="O20" s="5" t="inlineStr">
        <is>
          <t>Ethan (fix), Robert (tests)</t>
        </is>
      </c>
    </row>
    <row r="21" ht="140" customHeight="1">
      <c r="B21" s="3" t="inlineStr">
        <is>
          <t>DEF-011</t>
        </is>
      </c>
      <c r="C21" s="4">
        <f>DATE(2026,10,12)</f>
        <v/>
      </c>
      <c r="D21" s="5" t="inlineStr">
        <is>
          <t>Ethan</t>
        </is>
      </c>
      <c r="E21" s="5" t="inlineStr">
        <is>
          <t>Wrong role on a transition returns 422; DEC-015 says 403. (Origin: src/services/statusTransitionService.js line 88 throws TransitionError for every refused transition, including the role refusal from checkTransition in src/domain/requestStatus.js line 127.)</t>
        </is>
      </c>
      <c r="F21" s="5" t="inlineStr">
        <is>
          <t>DEC-015, src/services/statusTransitionService.js, src/domain/requestStatus.js (checkTransition)</t>
        </is>
      </c>
      <c r="G21" s="5" t="inlineStr">
        <is>
          <t>S3</t>
        </is>
      </c>
      <c r="H21" s="5" t="inlineStr">
        <is>
          <t>A client cannot tell an authorisation refusal from a validation failure, so it cannot show the right message or decide whether retrying is sensible. No user impact today because there is no client, but it is a contract defect against DEC-015 and it will mislead the one we are about to build.</t>
        </is>
      </c>
      <c r="I21" s="5" t="inlineStr">
        <is>
          <t>P1</t>
        </is>
      </c>
      <c r="J21" s="5" t="inlineStr">
        <is>
          <t>Open</t>
        </is>
      </c>
      <c r="K21" s="5" t="inlineStr">
        <is>
          <t>Pending</t>
        </is>
      </c>
      <c r="L21" s="5" t="inlineStr">
        <is>
          <t>Pending</t>
        </is>
      </c>
      <c r="M21" s="5" t="inlineStr">
        <is>
          <t>Pending</t>
        </is>
      </c>
      <c r="N21" s="5" t="inlineStr">
        <is>
          <t>Not blocking. Fix with DEF-007 to DEF-010 in the same PR, same file, same decision.</t>
        </is>
      </c>
      <c r="O21" s="5" t="inlineStr">
        <is>
          <t>Ethan</t>
        </is>
      </c>
    </row>
    <row r="22" ht="140" customHeight="1">
      <c r="B22" s="3" t="inlineStr">
        <is>
          <t>DEF-012</t>
        </is>
      </c>
      <c r="C22" s="4">
        <f>DATE(2026,10,12)</f>
        <v/>
      </c>
      <c r="D22" s="5" t="inlineStr">
        <is>
          <t>Ethan</t>
        </is>
      </c>
      <c r="E22" s="5" t="inlineStr">
        <is>
          <t>A malformed request id returns 500 rather than 400 — unhandled exception on a bad path parameter.</t>
        </is>
      </c>
      <c r="F22" s="5" t="inlineStr">
        <is>
          <t>API: request id path parameter</t>
        </is>
      </c>
      <c r="G22" s="5" t="inlineStr">
        <is>
          <t>S3</t>
        </is>
      </c>
      <c r="H22" s="5" t="inlineStr">
        <is>
          <t>A client sending a bad id gets an unhandled server error rather than a clear 400, which says the fault is ours when it is theirs, and fills the logs with exceptions that mask real ones.</t>
        </is>
      </c>
      <c r="I22" s="5" t="inlineStr">
        <is>
          <t>P1</t>
        </is>
      </c>
      <c r="J22" s="5" t="inlineStr">
        <is>
          <t>Open</t>
        </is>
      </c>
      <c r="K22" s="5" t="inlineStr">
        <is>
          <t>Pending</t>
        </is>
      </c>
      <c r="L22" s="5" t="inlineStr">
        <is>
          <t>Pending</t>
        </is>
      </c>
      <c r="M22" s="5" t="inlineStr">
        <is>
          <t>Pending</t>
        </is>
      </c>
      <c r="N22" s="5" t="inlineStr">
        <is>
          <t>Not blocking. Trivial fix, same PR.</t>
        </is>
      </c>
      <c r="O22" s="5" t="inlineStr">
        <is>
          <t>Ethan</t>
        </is>
      </c>
    </row>
    <row r="23" ht="140" customHeight="1">
      <c r="B23" s="3" t="inlineStr">
        <is>
          <t>DEF-013</t>
        </is>
      </c>
      <c r="C23" s="4">
        <f>DATE(2026,10,12)</f>
        <v/>
      </c>
      <c r="D23" s="5" t="inlineStr">
        <is>
          <t>Ethan</t>
        </is>
      </c>
      <c r="E23" s="5" t="inlineStr">
        <is>
          <t>tests/app.test.js "login sets __Host-sid with HttpOnly, Secure, SameSite=Lax, Path=/ and no Domain" fails intermittently. Twice in about 175 full-suite runs, not reproduced in 200 isolated runs of that file. It was never re-run until green: both failures are recorded as they happened, in docs/evidence/M3-read-endpoint/INDEX.txt (PR #89).</t>
        </is>
      </c>
      <c r="F23" s="5" t="inlineStr">
        <is>
          <t>tests/app.test.js</t>
        </is>
      </c>
      <c r="G23" s="5" t="inlineStr">
        <is>
          <t>S3</t>
        </is>
      </c>
      <c r="H23" s="5" t="inlineStr">
        <is>
          <t>This is the one that matters. The assertion covers the session cookie's security attributes — HttpOnly, Secure, SameSite=Lax, Path=/ and no Domain. If the intermittency is a real race rather than test flakiness, then a session cookie could occasionally be set without those attributes, which is a genuine security exposure. We do not know which it is. Not reproduced in 200 isolated runs or 100 full-suite runs; both real failures happened while sabotage loops were running, so load is a possible trigger but unconfirmed.</t>
        </is>
      </c>
      <c r="I23" s="5" t="inlineStr">
        <is>
          <t>P1</t>
        </is>
      </c>
      <c r="J23" s="5" t="inlineStr">
        <is>
          <t>Open</t>
        </is>
      </c>
      <c r="K23" s="5" t="inlineStr">
        <is>
          <t>Pending</t>
        </is>
      </c>
      <c r="L23" s="5" t="inlineStr">
        <is>
          <t>Pending</t>
        </is>
      </c>
      <c r="M23" s="5" t="inlineStr">
        <is>
          <t>Pending. The 100-run full-suite capture loop (2026-10-12) produced 0 failures, so the failure message is still not captured.</t>
        </is>
      </c>
      <c r="N23" s="5" t="inlineStr">
        <is>
          <t>Residual risk, and it goes in the Release Evidence Summary by name. No evidence of a real defect after 300 runs, and no explanation either.</t>
        </is>
      </c>
      <c r="O23" s="5" t="inlineStr">
        <is>
          <t>Ethan</t>
        </is>
      </c>
    </row>
  </sheetData>
  <autoFilter ref="B10:O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2026-10-11T15:42:55Z</dcterms:created>
  <dcterms:modified xsi:type="dcterms:W3CDTF">2026-10-12T15:29:18Z</dcterms:modified>
</cp:coreProperties>
</file>