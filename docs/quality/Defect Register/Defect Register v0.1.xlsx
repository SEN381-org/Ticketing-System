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gister" sheetId="1" state="visible" r:id="rId1"/>
  </sheets>
  <definedNames>
    <definedName name="_xlnm._FilterDatabase" localSheetId="0" hidden="1">'Defect Register'!$B$10:$O$13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top" wrapText="1"/>
    </xf>
    <xf numFmtId="164" fontId="4" fillId="3" borderId="4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3"/>
  <sheetViews>
    <sheetView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48" customWidth="1" min="5" max="5"/>
    <col width="28" customWidth="1" min="6" max="6"/>
    <col width="10" customWidth="1" min="7" max="7"/>
    <col width="40" customWidth="1" min="8" max="8"/>
    <col width="9" customWidth="1" min="9" max="9"/>
    <col width="10" customWidth="1" min="10" max="10"/>
    <col width="44" customWidth="1" min="11" max="11"/>
    <col width="30" customWidth="1" min="12" max="12"/>
    <col width="48" customWidth="1" min="13" max="13"/>
    <col width="40" customWidth="1" min="14" max="14"/>
    <col width="12" customWidth="1" min="15" max="15"/>
  </cols>
  <sheetData>
    <row r="1">
      <c r="B1" s="1" t="inlineStr">
        <is>
          <t>Defect Register</t>
        </is>
      </c>
    </row>
    <row r="2">
      <c r="B2" t="inlineStr">
        <is>
          <t>M3 brief §12: "Maintain a simple defect record: defect -&gt; severity/impact -&gt; status -&gt; fix -&gt; regression evidence where corrected." §15: "Known defects | Open/closed | Business impact | Block or residual risk". Each row has a stable DEF identifier the RTM Defect/Status column can cite. Identifiers are never reused or renumbered; a closed defect stays in the register.</t>
        </is>
      </c>
    </row>
    <row r="3">
      <c r="B3" t="inlineStr">
        <is>
          <t>Severity and priority scales below are a TEAM PROCESS CONVENTION, not a domain value from the requirements.</t>
        </is>
      </c>
    </row>
    <row r="4">
      <c r="B4" t="inlineStr">
        <is>
          <t>S1 Critical — an acceptance criterion cannot be met, or data lost, corrupted or exposed. Blocks release.</t>
        </is>
      </c>
    </row>
    <row r="5">
      <c r="B5" t="inlineStr">
        <is>
          <t>S2 Major — a requirement only partly met, or a documented control does not hold in some case. Release only with the limitation recorded.</t>
        </is>
      </c>
    </row>
    <row r="6">
      <c r="B6" t="inlineStr">
        <is>
          <t>S3 Minor — incorrect behaviour with a workaround, or code and record disagree.</t>
        </is>
      </c>
    </row>
    <row r="7">
      <c r="B7" t="inlineStr">
        <is>
          <t>S4 Trivial — cosmetic or documentation only.</t>
        </is>
      </c>
    </row>
    <row r="8">
      <c r="B8" t="inlineStr">
        <is>
          <t>P1 before the M3 release candidate · P2 before M4 · P3 backlog.</t>
        </is>
      </c>
    </row>
    <row r="9"/>
    <row r="10">
      <c r="B10" s="2" t="inlineStr">
        <is>
          <t>ID</t>
        </is>
      </c>
      <c r="C10" s="2" t="inlineStr">
        <is>
          <t>Date raised</t>
        </is>
      </c>
      <c r="D10" s="2" t="inlineStr">
        <is>
          <t>Found by</t>
        </is>
      </c>
      <c r="E10" s="2" t="inlineStr">
        <is>
          <t>Defect</t>
        </is>
      </c>
      <c r="F10" s="2" t="inlineStr">
        <is>
          <t>Affects (requirement / artefact)</t>
        </is>
      </c>
      <c r="G10" s="2" t="inlineStr">
        <is>
          <t>Severity</t>
        </is>
      </c>
      <c r="H10" s="2" t="inlineStr">
        <is>
          <t>Business impact</t>
        </is>
      </c>
      <c r="I10" s="2" t="inlineStr">
        <is>
          <t>Priority</t>
        </is>
      </c>
      <c r="J10" s="2" t="inlineStr">
        <is>
          <t>Status</t>
        </is>
      </c>
      <c r="K10" s="2" t="inlineStr">
        <is>
          <t>Fix</t>
        </is>
      </c>
      <c r="L10" s="2" t="inlineStr">
        <is>
          <t>Fix reference</t>
        </is>
      </c>
      <c r="M10" s="2" t="inlineStr">
        <is>
          <t>Regression evidence</t>
        </is>
      </c>
      <c r="N10" s="2" t="inlineStr">
        <is>
          <t>Block or residual risk</t>
        </is>
      </c>
      <c r="O10" s="2" t="inlineStr">
        <is>
          <t>Owner</t>
        </is>
      </c>
    </row>
    <row r="11" ht="140" customHeight="1">
      <c r="B11" s="3" t="inlineStr">
        <is>
          <t>DEF-001</t>
        </is>
      </c>
      <c r="C11" s="4">
        <f>DATE(2026,10,11)</f>
        <v/>
      </c>
      <c r="D11" s="5" t="inlineStr">
        <is>
          <t>Review (M3 Phase 0 records)</t>
        </is>
      </c>
      <c r="E11" s="5" t="inlineStr">
        <is>
          <t>Risk Register V0.6: the band conditional formatting covered I3:I17 and the filter covered B2:P15, so RSK-016 to RSK-020 had no band colour and fell outside the filter.</t>
        </is>
      </c>
      <c r="F11" s="5" t="inlineStr">
        <is>
          <t>Risk Register (controlled artefact)</t>
        </is>
      </c>
      <c r="G11" s="5" t="inlineStr">
        <is>
          <t>S3</t>
        </is>
      </c>
      <c r="H11" s="5" t="inlineStr">
        <is>
          <t>High-priority risks RSK-016 and RSK-020 were not visibly banded, and filtering the register silently omitted five risks. A review relying on the filter would miss them.</t>
        </is>
      </c>
      <c r="I11" s="5" t="inlineStr">
        <is>
          <t>P1</t>
        </is>
      </c>
      <c r="J11" s="5" t="inlineStr">
        <is>
          <t>Closed</t>
        </is>
      </c>
      <c r="K11" s="5" t="inlineStr">
        <is>
          <t>Ranges extended to I3:I23 and B2:P23 in Risk Register V0.7, covering every row including RSK-021.</t>
        </is>
      </c>
      <c r="L11" s="5" t="inlineStr">
        <is>
          <t>Commit 6598b58 (Risk Register V0.7)</t>
        </is>
      </c>
      <c r="M11" s="5" t="inlineStr">
        <is>
          <t>Read-back of the V0.7 workbook: formatting range I3:I23, filter B2:P23, zero existing cells changed. No automated regression test exists for workbook formatting.</t>
        </is>
      </c>
      <c r="N11" s="5" t="inlineStr">
        <is>
          <t>Residual: a future row appended beyond row 23 needs the ranges extended again. No release block.</t>
        </is>
      </c>
      <c r="O11" s="5" t="inlineStr">
        <is>
          <t>Ethan</t>
        </is>
      </c>
    </row>
    <row r="12" ht="140" customHeight="1">
      <c r="B12" s="3" t="inlineStr">
        <is>
          <t>DEF-002</t>
        </is>
      </c>
      <c r="C12" s="4">
        <f>DATE(2026,10,11)</f>
        <v/>
      </c>
      <c r="D12" s="5" t="inlineStr">
        <is>
          <t>Review (OpenAPI update)</t>
        </is>
      </c>
      <c r="E12" s="5" t="inlineStr">
        <is>
          <t>docs/api/openapi.yaml did not list INTERNAL_ERROR in Problem.code, although the error handler has always sent it for every unrecognised error.</t>
        </is>
      </c>
      <c r="F12" s="5" t="inlineStr">
        <is>
          <t>DEC-015, docs/api/openapi.yaml, src/middleware/errorHandler.js</t>
        </is>
      </c>
      <c r="G12" s="5" t="inlineStr">
        <is>
          <t>S3</t>
        </is>
      </c>
      <c r="H12" s="5" t="inlineStr">
        <is>
          <t>A client generated from the contract would treat the 500 problem's code as undocumented. The contract understated what the API returns.</t>
        </is>
      </c>
      <c r="I12" s="5" t="inlineStr">
        <is>
          <t>P1</t>
        </is>
      </c>
      <c r="J12" s="5" t="inlineStr">
        <is>
          <t>Closed</t>
        </is>
      </c>
      <c r="K12" s="5" t="inlineStr">
        <is>
          <t>INTERNAL_ERROR added to Problem.code with the three new Phase 0 codes. A contract test now derives the code set from src/errors.js and the error handler at run time and requires it to equal the documented set.</t>
        </is>
      </c>
      <c r="L12" s="5" t="inlineStr">
        <is>
          <t>Commit 70d1825 (fix); commit 4921f4c (regression test)</t>
        </is>
      </c>
      <c r="M12" s="5" t="inlineStr">
        <is>
          <t>tests/openapiContract.test.js. Negative verification NV-25 (removing INTERNAL_ERROR fails the test) and NV-26 (adding an undocumented error type fails the test), docs/evidence/M3-P0/.</t>
        </is>
      </c>
      <c r="N12" s="5" t="inlineStr">
        <is>
          <t>None. No release block.</t>
        </is>
      </c>
      <c r="O12" s="5" t="inlineStr">
        <is>
          <t>Ethan</t>
        </is>
      </c>
    </row>
    <row r="13" ht="140" customHeight="1">
      <c r="B13" s="3" t="inlineStr">
        <is>
          <t>DEF-003</t>
        </is>
      </c>
      <c r="C13" s="4">
        <f>DATE(2026,10,11)</f>
        <v/>
      </c>
      <c r="D13" s="5" t="inlineStr">
        <is>
          <t>Self-review before first commit</t>
        </is>
      </c>
      <c r="E13" s="5" t="inlineStr">
        <is>
          <t>Near miss: tests/config.test.js held a literal credential-shaped MongoDB URI (fake value) that the CI secret scan could flag. Caught before it was committed.</t>
        </is>
      </c>
      <c r="F13" s="5" t="inlineStr">
        <is>
          <t>NFR-3.5, CI secret-scan job</t>
        </is>
      </c>
      <c r="G13" s="5" t="inlineStr">
        <is>
          <t>S4</t>
        </is>
      </c>
      <c r="H13" s="5" t="inlineStr">
        <is>
          <t>None realised. Had it been committed, a secret-scan failure would have blocked merging, and the string would sit permanently in history (NFR-3.5 is assessed across the full history).</t>
        </is>
      </c>
      <c r="I13" s="5" t="inlineStr">
        <is>
          <t>P1</t>
        </is>
      </c>
      <c r="J13" s="5" t="inlineStr">
        <is>
          <t>Closed</t>
        </is>
      </c>
      <c r="K13" s="5" t="inlineStr">
        <is>
          <t>The fake credential is assembled at run time from parts, so no credential-shaped literal exists in the file.</t>
        </is>
      </c>
      <c r="L13" s="5" t="inlineStr">
        <is>
          <t>Commit 70d1825 (the literal was replaced before that first commit)</t>
        </is>
      </c>
      <c r="M13" s="5" t="inlineStr">
        <is>
          <t>git log --all -S on the literal returns no commit on any ref (checked 11/10/2026). Gitleaks full-history secret scan passed on the code PR #83 at commit bc867f3 (GitHub Actions run 38152562066, job "Secret scan (full history)", 11/10/2026).</t>
        </is>
      </c>
      <c r="N13" s="5" t="inlineStr">
        <is>
          <t>None. No history exposure.</t>
        </is>
      </c>
      <c r="O13" s="5" t="inlineStr">
        <is>
          <t>Ethan</t>
        </is>
      </c>
    </row>
  </sheetData>
  <autoFilter ref="B10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2026-10-11T15:42:55Z</dcterms:created>
  <dcterms:modified xsi:type="dcterms:W3CDTF">2026-10-11T15:45:18Z</dcterms:modified>
</cp:coreProperties>
</file>