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c906530d9ff38bc/Desktop/SEN381/Ticketing-System/docs/quality/Defect Register/"/>
    </mc:Choice>
  </mc:AlternateContent>
  <xr:revisionPtr revIDLastSave="89" documentId="11_1E414E22D62B1D240B6507ADAE6B1F6F79FB2D4F" xr6:coauthVersionLast="47" xr6:coauthVersionMax="47" xr10:uidLastSave="{D87FCE16-DF3F-4584-8348-859197FAF3DB}"/>
  <bookViews>
    <workbookView xWindow="-108" yWindow="-108" windowWidth="30936" windowHeight="17496" xr2:uid="{00000000-000D-0000-FFFF-FFFF00000000}"/>
  </bookViews>
  <sheets>
    <sheet name="Defect Register" sheetId="1" r:id="rId1"/>
  </sheets>
  <definedNames>
    <definedName name="_xlnm._FilterDatabase" localSheetId="0" hidden="1">'Defect Register'!$B$10:$O$30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1" l="1"/>
  <c r="C29" i="1"/>
  <c r="C28" i="1"/>
  <c r="C27" i="1"/>
  <c r="C26" i="1"/>
  <c r="C25" i="1"/>
  <c r="C24" i="1"/>
  <c r="C23" i="1"/>
  <c r="C22" i="1"/>
  <c r="C21" i="1"/>
  <c r="C20" i="1"/>
  <c r="C19" i="1"/>
  <c r="C18" i="1"/>
  <c r="C17" i="1"/>
  <c r="C16" i="1"/>
  <c r="C15" i="1"/>
  <c r="C14" i="1"/>
  <c r="C13" i="1"/>
  <c r="C12" i="1"/>
  <c r="C11" i="1"/>
</calcChain>
</file>

<file path=xl/sharedStrings.xml><?xml version="1.0" encoding="utf-8"?>
<sst xmlns="http://schemas.openxmlformats.org/spreadsheetml/2006/main" count="282" uniqueCount="172">
  <si>
    <t>Defect Register</t>
  </si>
  <si>
    <t>Severity and priority scales below are a TEAM PROCESS CONVENTION, not a domain value from the requirements.</t>
  </si>
  <si>
    <t>S1 Critical — an acceptance criterion cannot be met, or data lost, corrupted or exposed. Blocks release.</t>
  </si>
  <si>
    <t>S2 Major — a requirement only partly met, or a documented control does not hold in some case. Release only with the limitation recorded.</t>
  </si>
  <si>
    <t>S3 Minor — incorrect behaviour with a workaround, or code and record disagree.</t>
  </si>
  <si>
    <t>S4 Trivial — cosmetic or documentation only.</t>
  </si>
  <si>
    <t>P1 before the M3 release candidate · P2 before M4 · P3 backlog.</t>
  </si>
  <si>
    <t>ID</t>
  </si>
  <si>
    <t>Date raised</t>
  </si>
  <si>
    <t>Found by</t>
  </si>
  <si>
    <t>Defect</t>
  </si>
  <si>
    <t>Affects (requirement / artefact)</t>
  </si>
  <si>
    <t>Severity</t>
  </si>
  <si>
    <t>Business impact</t>
  </si>
  <si>
    <t>Priority</t>
  </si>
  <si>
    <t>Status</t>
  </si>
  <si>
    <t>Fix</t>
  </si>
  <si>
    <t>Fix reference</t>
  </si>
  <si>
    <t>Regression evidence</t>
  </si>
  <si>
    <t>Block or residual risk</t>
  </si>
  <si>
    <t>Owner</t>
  </si>
  <si>
    <t>DEF-001</t>
  </si>
  <si>
    <t>Review (M3 Phase 0 records)</t>
  </si>
  <si>
    <t>Risk Register V0.6: the band conditional formatting covered I3:I17 and the filter covered B2:P15, so RSK-016 to RSK-020 had no band colour and fell outside the filter.</t>
  </si>
  <si>
    <t>Risk Register (controlled artefact)</t>
  </si>
  <si>
    <t>S3</t>
  </si>
  <si>
    <t>High-priority risks RSK-016 and RSK-020 were not visibly banded, and filtering the register silently omitted five risks. A review relying on the filter would miss them.</t>
  </si>
  <si>
    <t>P1</t>
  </si>
  <si>
    <t>Closed</t>
  </si>
  <si>
    <t>Ranges extended to I3:I23 and B2:P23 in Risk Register V0.7, covering every row including RSK-021.</t>
  </si>
  <si>
    <t>Commit 6598b58 (Risk Register V0.7)</t>
  </si>
  <si>
    <t>Read-back of the V0.7 workbook: formatting range I3:I23, filter B2:P23, zero existing cells changed. No automated regression test exists for workbook formatting.</t>
  </si>
  <si>
    <t>Residual: a future row appended beyond row 23 needs the ranges extended again. No release block.</t>
  </si>
  <si>
    <t>Ethan</t>
  </si>
  <si>
    <t>DEF-002</t>
  </si>
  <si>
    <t>Review (OpenAPI update)</t>
  </si>
  <si>
    <t>docs/api/openapi.yaml did not list INTERNAL_ERROR in Problem.code, although the error handler has always sent it for every unrecognised error.</t>
  </si>
  <si>
    <t>DEC-015, docs/api/openapi.yaml, src/middleware/errorHandler.js</t>
  </si>
  <si>
    <t>A client generated from the contract would treat the 500 problem's code as undocumented. The contract understated what the API returns.</t>
  </si>
  <si>
    <t>INTERNAL_ERROR added to Problem.code with the three new Phase 0 codes. A contract test now derives the code set from src/errors.js and the error handler at run time and requires it to equal the documented set.</t>
  </si>
  <si>
    <t>Commit 70d1825 (fix); commit 4921f4c (regression test)</t>
  </si>
  <si>
    <t>tests/openapiContract.test.js. Negative verification NV-25 (removing INTERNAL_ERROR fails the test) and NV-26 (adding an undocumented error type fails the test), docs/evidence/M3-P0/.</t>
  </si>
  <si>
    <t>None. No release block.</t>
  </si>
  <si>
    <t>DEF-003</t>
  </si>
  <si>
    <t>Self-review before first commit</t>
  </si>
  <si>
    <t>Near miss: tests/config.test.js held a literal credential-shaped MongoDB URI (fake value) that the CI secret scan could flag. Caught before it was committed.</t>
  </si>
  <si>
    <t>NFR-3.5, CI secret-scan job</t>
  </si>
  <si>
    <t>S4</t>
  </si>
  <si>
    <t>None realised. Had it been committed, a secret-scan failure would have blocked merging, and the string would sit permanently in history (NFR-3.5 is assessed across the full history).</t>
  </si>
  <si>
    <t>The fake credential is assembled at run time from parts, so no credential-shaped literal exists in the file.</t>
  </si>
  <si>
    <t>Commit 70d1825 (the literal was replaced before that first commit)</t>
  </si>
  <si>
    <t>git log --all -S on the literal returns no commit on any ref (checked 11/10/2026). Gitleaks full-history secret scan passed on the code PR #83 at commit bc867f3 (GitHub Actions run 38152562066, job "Secret scan (full history)", 11/10/2026).</t>
  </si>
  <si>
    <t>None. No history exposure.</t>
  </si>
  <si>
    <t>DEF-004</t>
  </si>
  <si>
    <t>Review before the first smoke run</t>
  </si>
  <si>
    <t>The smoke check's usage comment and the README directed the reader to --base-url http://localhost:&lt;port&gt;, while the server binds IPv4 loopback only (127.0.0.1, DEC-003). On Windows, Node can resolve localhost to ::1 first, so the smoke run could fail to connect.</t>
  </si>
  <si>
    <t>DEC-018 evidence item 2 (smoke check), scripts/smoke/phase0-smoke.js, README.md</t>
  </si>
  <si>
    <t>A connection failure in the smoke run would read as a fault in the application, so the reachability evidence could be wrongly reported as failed, or time spent chasing a non-existent defect.</t>
  </si>
  <si>
    <t>Both smoke-check references changed to http://127.0.0.1:&lt;port&gt;. The browser guidance (README, session.js, DEC-018) is deliberately unchanged: a browser falls back from ::1 to 127.0.0.1 itself, and localhost is what makes the Secure __Host-sid cookie work over plain HTTP.</t>
  </si>
  <si>
    <t>Commit c1514d0 (PR #83)</t>
  </si>
  <si>
    <t>The corrected text in scripts/smoke/phase0-smoke.js and README.md (commit c1514d0), with the reasoning above. No automated test: the defect is in documentation, not behaviour. Not observed failing; found by review before the first run.</t>
  </si>
  <si>
    <t>DEF-005</t>
  </si>
  <si>
    <t>DB-01 v0.3's collection table says roles is read by the guard; DEC-003 v0.2's grant list doesn't include it. Two merged baselined documents disagreeing. No code reads roles today so nothing breaks.</t>
  </si>
  <si>
    <t>DB-01 v0.3 (collection table), DEC-003 v0.2 (database users grant list)</t>
  </si>
  <si>
    <t>No behavioural effect today, because no code reads the roles collection. The impact is on future work and on the record's credibility: anyone implementing the guard from DB-01 v0.3 would hit an authorisation failure on the cluster, because DEC-003 v0.2 never grants it. Two merged baselined documents disagree, and whichever a developer reads first decides whether their code works.</t>
  </si>
  <si>
    <t>P2</t>
  </si>
  <si>
    <t>Open</t>
  </si>
  <si>
    <t>Pending</t>
  </si>
  <si>
    <t>Not blocking. Residual: the two documents stay in conflict until one is corrected through a controlled change.</t>
  </si>
  <si>
    <t>DEF-006</t>
  </si>
  <si>
    <t>DEC-003 v0.2 (environment map, Test row), scripts/smoke/phase0-smoke.js</t>
  </si>
  <si>
    <t>Synthetic users, requests and history entries accumulate, so runs are not isolated and a later run could pass or fail because of data an earlier one left. The existing evidence is unaffected — SMOKE-01 and the layer-3 verification test reachability and privileges, neither of which depends on an empty database — but the staging demonstration runs the critical journey against a cluster, and that one does.</t>
  </si>
  <si>
    <t>Not release-blocking. Residual: any future cluster-based evidence carries the caveat that the database was not clean at the start.</t>
  </si>
  <si>
    <t>DEF-007</t>
  </si>
  <si>
    <t>Integration test run (docs/evidence/M3_API_Test_Run.txt, commit 549854d)</t>
  </si>
  <si>
    <t>Replay returns 200 with a reduced body and no Idempotent-Replayed header. DEC-015 §3 requires the same status and body as the original plus the header. Predates PR #83; originated in the M2 slice.</t>
  </si>
  <si>
    <t>DEC-015 §3, docs/api/openapi.yaml, src/routes/requestRoutes.js:76, src/services/statusTransitionService.js:149-155 (tests/integration/idempotencyKey.integration.test.js case 2b)</t>
  </si>
  <si>
    <t>A client retrying after a timeout cannot treat the retry as the original response and has to handle a second response shape.</t>
  </si>
  <si>
    <t>Pending, separate PR</t>
  </si>
  <si>
    <t>Pending: the same tests re-run unchanged after the fix</t>
  </si>
  <si>
    <t>Open. Not a release block under the scale (S3). No second history entry is written on a replay.</t>
  </si>
  <si>
    <t>Ethan (fix), Robert (tests)</t>
  </si>
  <si>
    <t>DEF-008</t>
  </si>
  <si>
    <t>412 body carries no current ETag; only the stale version, in the detail text. DEC-015 §2. Predates PR #83; originated in the M2 slice.</t>
  </si>
  <si>
    <t>DEC-015 §2, src/errors.js:56-60, src/repositories/requestRepository.js:43, src/services/statusTransitionService.js:75 (tests/integration/ifMatchConflict.integration.test.js)</t>
  </si>
  <si>
    <t>After a conflict the client must make a second request to learn the current version before it can retry.</t>
  </si>
  <si>
    <t>Open. Not a release block under the scale (S3). The stale write itself is refused and nothing is changed.</t>
  </si>
  <si>
    <t>DEF-009</t>
  </si>
  <si>
    <t>Fingerprint omits method and path and is not canonical; a key used on request A is accepted on request B and returns A's result. Predates PR #83; originated in the M2 slice.</t>
  </si>
  <si>
    <t>DEC-015 §3, FR-6.7, src/routes/requestRoutes.js:35-36, src/repositories/historyRepository.js:35-36, src/services/statusTransitionService.js:54-57 (tests/integration/idempotencyKey.integration.test.js cases 2d and 2e)</t>
  </si>
  <si>
    <t>S2</t>
  </si>
  <si>
    <t>A client is told that a transition on request B succeeded when nothing happened to B. The same body with its members in another order is refused as a different payload.</t>
  </si>
  <si>
    <t>Open. S2: release only with the limitation recorded, unless fixed first. Neither request gains a history entry, so no data is written wrongly; the response is false.</t>
  </si>
  <si>
    <t>DEF-010</t>
  </si>
  <si>
    <t>Problem type is idempotency-conflict, not idempotency-key-reused. DEC-015 §3. Predates PR #83; originated in the M2 slice.</t>
  </si>
  <si>
    <t>DEC-015 §3, docs/api/openapi.yaml, tests/openapiContract.test.js, src/errors.js:113 (tests/integration/idempotencyKey.integration.test.js case 2c)</t>
  </si>
  <si>
    <t>Code and decision record disagree on a name. A client written from DEC-015 would not recognise the problem type. The 422 status is correct.</t>
  </si>
  <si>
    <t>Open. Not a release block under the scale (S3).</t>
  </si>
  <si>
    <t>DEF-011</t>
  </si>
  <si>
    <t>Wrong role on a transition returns 422; DEC-015 says 403. (Origin: src/services/statusTransitionService.js line 88 throws TransitionError for every refused transition, including the role refusal from checkTransition in src/domain/requestStatus.js line 127.)</t>
  </si>
  <si>
    <t>DEC-015, src/services/statusTransitionService.js, src/domain/requestStatus.js (checkTransition)</t>
  </si>
  <si>
    <t>A client cannot tell an authorisation refusal from a validation failure, so it cannot show the right message or decide whether retrying is sensible. No user impact today because there is no client, but it is a contract defect against DEC-015 and it will mislead the one we are about to build.</t>
  </si>
  <si>
    <t>Pending: the same tests re-run unchanged after the fix (wrongRoleTransition.integration.test.js)</t>
  </si>
  <si>
    <t>Not blocking. Fix with DEF-007 to DEF-010 in the same PR, same file, same decision.</t>
  </si>
  <si>
    <t>DEF-012</t>
  </si>
  <si>
    <t>A malformed request id returns 500 rather than 400 — unhandled exception on a bad path parameter.</t>
  </si>
  <si>
    <t>API: request id path parameter</t>
  </si>
  <si>
    <t>A client sending a bad id gets an unhandled server error rather than a clear 400, which says the fault is ours when it is theirs, and fills the logs with exceptions that mask real ones.</t>
  </si>
  <si>
    <t>Not blocking. Trivial fix, same PR.</t>
  </si>
  <si>
    <t>DEF-013</t>
  </si>
  <si>
    <t>tests/app.test.js "login sets __Host-sid with HttpOnly, Secure, SameSite=Lax, Path=/ and no Domain" fails intermittently. Twice in about 175 full-suite runs, not reproduced in 200 isolated runs of that file. It was never re-run until green: both failures are recorded as they happened, in docs/evidence/M3-read-endpoint/INDEX.txt (PR #89).</t>
  </si>
  <si>
    <t>tests/app.test.js</t>
  </si>
  <si>
    <t>This is the one that matters. The assertion covers the session cookie's security attributes — HttpOnly, Secure, SameSite=Lax, Path=/ and no Domain. If the intermittency is a real race rather than test flakiness, then a session cookie could occasionally be set without those attributes, which is a genuine security exposure. We do not know which it is. Not reproduced in 200 isolated runs or 100 full-suite runs; both real failures happened while sabotage loops were running, so load is a possible trigger but unconfirmed.</t>
  </si>
  <si>
    <t>P1 — not because of the test, but because the uncertainty is about a security control.</t>
  </si>
  <si>
    <t>Pending. The 100-run full-suite capture loop (2026-10-12) produced 0 failures, so the failure message is still not captured.</t>
  </si>
  <si>
    <t>Residual risk, and it goes in the Release Evidence Summary by name. No evidence of a real defect after 300 runs, and no explanation either.</t>
  </si>
  <si>
    <t>DEF-014</t>
  </si>
  <si>
    <t>R. van der Merwe (via Negative Verifications)</t>
  </si>
  <si>
    <t>Observed: on the test cluster, with the application-level idempotency lookup bypassed (negative verification, case 2b and the isolated runs), a second requestHistory entry with the same (actorId, idempotencyKey) was accepted, so the unique index on (actorId, idempotencyKey) did not act there. Evidence: docs/evidence/M3_API_Negative_Verification.txt. Also observed (2026-10-12): the index is absent on the test cluster, where requestHistory has only the default _id_ index (docs/evidence/M3-indexes/atlas_ui_index_listing_test_cluster.txt); civicconnect-app's server-reported grants on requestHistory are find and insert only, with no database-wide grant (docs/evidence/DB-01_layer3_verification.txt); and it is refused listIndexes on every application collection (MongoServerError 8000, AtlasError; docs/evidence/M3-indexes/listIndexes_refused_civicconnect-app.txt). Inferred, not verified: that the missing createIndex grant is why the index is absent; nobody watched an index build fail. Staging does not exist yet and production is unverified.</t>
  </si>
  <si>
    <t>src/models/RequestHistory.js (unique partial index on actorId, idempotencyKey), DEC-015 §3, M3 API Test Specification S5, DEC-003 civicconnect-app role (inferred cause)</t>
  </si>
  <si>
    <t>None on the code as it stands: the application-level lookup, version check and transition rule each stop the duplicate before the insert. The index is the last line of defence DEC-015 §3 relies on for two requests carrying the same key at the same moment. On the test cluster it did not act, so that path is unprotected there and cannot be tested there; on staging and production it is unverified (see E24).</t>
  </si>
  <si>
    <t>DEF-015</t>
  </si>
  <si>
    <t>R. van der Merwe</t>
  </si>
  <si>
    <t>Observed: on the test cluster, with the version check and the transition rule bypassed (isolated negative verification, case 1), a second requestHistory entry with the same (requestId, requestVersion) was accepted, so the unique index on (requestId, requestVersion) did not act there. Evidence: docs/evidence/M3_API_Negative_Verification.txt. Also observed (2026-10-12): the index is absent on the test cluster, where requestHistory has only the default _id_ index (docs/evidence/M3-indexes/atlas_ui_index_listing_test_cluster.txt); civicconnect-app's server-reported grants on requestHistory are find and insert only, with no database-wide grant (docs/evidence/DB-01_layer3_verification.txt); and it is refused listIndexes on every application collection (MongoServerError 8000, AtlasError; docs/evidence/M3-indexes/listIndexes_refused_civicconnect-app.txt). Inferred, not verified: that the missing createIndex grant is why the index is absent; nobody watched an index build fail. Staging does not exist yet and production is unverified.</t>
  </si>
  <si>
    <t>src/models/RequestHistory.js (unique index on requestId, requestVersion), DEC-016 decision 4, M3 API Test Specification S5, DEC-003 civicconnect-app role (inferred cause)</t>
  </si>
  <si>
    <t>None on the code as it stands: the version check in the service and the version filter in requestRepository.applyChange each stop a second entry for the same version before the insert. The unique index on (requestId, requestVersion) is the last line of defence for two transitions racing on the same version (DEC-016 decision 4); without it, that race could write two history entries with the same requestVersion, which can never be removed (FR-6.7).</t>
  </si>
  <si>
    <t>DEF-016</t>
  </si>
  <si>
    <t>A second test in the suite fails intermittently. 'health answers without a session, and reports both statuses — AC-NFR-1.6' (tests/app.test.js) failed once, in the NV-56 full-suite run on 2026-10-12, alongside the failure that run was expected to produce. It did not fail in the other nine sabotage runs or in any green re-run in that folder. The failure message was not captured. It was not re-run until it passed; the failure is recorded as it happened, in docs/evidence/M3-client/NV-56_ROLE_value_as_a_quoted_literal.txt and INDEX.txt (PR #89). It is distinct from DEF-013, which is a different test ('login sets __Host-sid…'). Both are in tests/app.test.js, both start the application in-process and call it over HTTP on a loopback port, and both failed during repeated full-suite runs while code was being sabotaged and restored. That points to a common cause in how app.test.js runs its HTTP tests, but it is unconfirmed.</t>
  </si>
  <si>
    <t>AC-NFR-1.6, tests/app.test.js, npm test and the CI test job; related to DEF-013</t>
  </si>
  <si>
    <t>The test is part of npm test, which is the CI gate. An intermittent failure there means a red build that doesn’t indicate a real fault, and invites re-running until green. Together with DEF-013 it suggests app.test.js’s HTTP tests are not reliable under some condition. Until the cause is known, a failure of either test can’t be told apart from a real fault in the health endpoint or the session cookie.</t>
  </si>
  <si>
    <t>Pending. Capture the failure message, preferably together with DEF-013’s, then decide whether the cause is in the test setup (shared server, ports, timing) or in the application. Fix the cause without weakening any assertion. Until then, every failure is reported as it occurs and never re-run until green.</t>
  </si>
  <si>
    <t>Pending. Observed on 2026-10-12: 1 failure, in the NV-56 run, out of the full-suite runs made for NV-55 to NV-65. Failure message not captured.</t>
  </si>
  <si>
    <t>Not release-blocking (S3). Residual: an intermittent fault in the health endpoint is not ruled out, and the CI gate can go red without a real fault.</t>
  </si>
  <si>
    <t>DEF-017</t>
  </si>
  <si>
    <t>Observed (2026-10-12): on the test cluster, users (112 documents) has only the default _id_ index; the unique index on email that FR-1.1 relies on is absent (docs/evidence/M3-indexes/atlas_ui_index_listing_test_cluster.txt). Nothing else enforces it. scripts/admin/create-user.js has no application-level duplicate check and relies on that index to refuse one (its comment: "A duplicate email (FR-1.1 unique index) … lands here"), and sign-in finds the user with findOne by email (src/repositories/userRepository.js), which with two documents for one email returns whichever comes first. Inferred from the code and the observed absence, not demonstrated: a second account with an existing email would be created, and sign-in would only ever reach one of them. No duplicate was created to show it.</t>
  </si>
  <si>
    <t>FR-1.1, src/models/User.js (unique index on email), scripts/admin/create-user.js, src/repositories/userRepository.js, DB-01, DEC-018; cause and fix: TD-004</t>
  </si>
  <si>
    <t>FR-1.1 requires a unique individual account. With duplicates allowed, an operator mistake can create a second account for the same email that its owner can never sign in to, or two people can end up attached to one address; attribution of security events to an account by email becomes ambiguous. Accounts are created only by the operator script today (DEC-018: no self-registration, no HTTP bootstrap), so the exposure is operator error, not a user action.</t>
  </si>
  <si>
    <t>DEF-018</t>
  </si>
  <si>
    <t>Ethan, during the PR #98 build on 13/10/2026 (UTC)</t>
  </si>
  <si>
    <t>The first full npm test run after tests/indexProvisioning.test.js was added gave 194 tests, 183 pass, 3 fail, 8 skipped. The failing test names were not captured. Not known whether the three failures were in #98's new tests or the existing suite. 15 later runs each gave 194 tests, 186 pass, 8 skipped, 0 fail. It was not re-run to green. One unexplained failure, not reproduced. Cause unknown. Recorded in docs/evidence/M3-indexes/INDEX_provisioning_script_NV.txt (PR #98).</t>
  </si>
  <si>
    <t>npm test (full suite). Not known whether related to DEF-013 or DEF-016: the failing tests were not captured.</t>
  </si>
  <si>
    <t>npm test is the CI gate; an unexplained failure can't be told apart from a real fault and invites re-running until green; if the failures included DEF-013's session-cookie test, the uncertainty is about a security control.</t>
  </si>
  <si>
    <t>Capture test names and messages with a reporter, decide whether the cause is in the test setup or the app if it recurs, fix it without weakening any assertion, and never re-run until green.</t>
  </si>
  <si>
    <t>Not release-blocking (S3). Residual: the cause of three test failures is unknown, and they cannot be ruled out as a real fault.</t>
  </si>
  <si>
    <t>The test cluster database is not dropped per run, contradicting DEC-003's test-environment row and our own smoke script docstring. Update v0.5: the test cluster's civicconnect database was dropped once, by R. van der Merwe through the Atlas UI at 15:55 UTC on 14/10/2026, before the index provisioning runs (docs/evidence/M3-indexes/index_provisioning_test_run1.txt, note of 15/10/2026). A one-off drop, not a per-run drop: the defect is unchanged. Runs since then have added synthetic data again (the L2 to L4 checks on 14/10/2026; the E2E run at v3.0-M3-rc on 15/10/2026).</t>
  </si>
  <si>
    <t>DEF-019</t>
  </si>
  <si>
    <t>Ethan, while writing the M3 test evidence records</t>
  </si>
  <si>
    <t>Two test titles cite a requirement that does not say what the test checks. (1) tests/requestStatus.test.js, "an Administrator holds no lifecycle authority — FR-6.7 names them explicitly": FR-6.7 forbids altering or deleting a recorded history entry; that the Administrator holds no transition role is a team judgement drawn from it (the src/domain/requestStatus.js header), part of OI-15. (2) tests/statusTransitionService.test.js, "the entry records the acting user, both statuses and the version it produced — AC-FR-6.7": the content of a history entry is AC-FR-6.3; AC-FR-6.7 is immutability. The assertions are correct; only the citations are wrong. Recorded in docs/quality/M3_Test_Evidence_Records_v0.1.md §5.</t>
  </si>
  <si>
    <t>tests/requestStatus.test.js, tests/statusTransitionService.test.js; FR-6.7, AC-FR-6.3, AC-FR-6.7; the RTM verification cells that cite these tests; OI-15</t>
  </si>
  <si>
    <t>Code and record disagree: a reader tracing FR-6.7 or AC-FR-6.3 through the tests is pointed at the wrong evidence, and the Administrator rule reads as baselined when it is a proposal (OI-15). The same kind of error as in M2, where tests cited the right IDs while asserting wrong values, although here the values are right. No behaviour is wrong.</t>
  </si>
  <si>
    <t>Correct both titles after M3 (tests are frozen at v3.0-M3-rc): the first to cite OI-15 rather than FR-6.7, the second to cite AC-FR-6.3. RTM v0.10 cites the correct requirement for these tests now, and notes the titles.</t>
  </si>
  <si>
    <t>Pending: the corrected titles, and the RTM verification cells checked against them.</t>
  </si>
  <si>
    <t>Not release-blocking (S3). Residual: two test titles carry wrong citations until corrected; the RTM records the correct ones.</t>
  </si>
  <si>
    <t>M3 brief §12: "Maintain a simple defect record: defect -&gt; severity/impact -&gt; status -&gt; fix -&gt; regression evidence where corrected." §15: "Known defects | Open/closed | Business impact | Block or residual risk". Each row has a stable DEF identifier the RTM Defect/Status column can cite. Identifiers are never reused or renumbered; a closed defect stays in the register. | Version 0.5 (15/10/2026). Adds DEF-019 (two test titles cite the wrong requirement), raised by E. Lindsay, and DEF-020 (the staging MONGODB_URI named no database, so the application used the default test database), raised by R. van der Merwe. Closes DEF-014, DEF-015 and DEF-017: their unique indexes were provisioned and confirmed on the test cluster (PR #102) and the staging cluster (PR #111); closure text by R. van der Merwe, entered by E. Lindsay. DEF-006 records the one-off drop of the test database on 14/10/2026. DEF-001 to DEF-005, DEF-007 to DEF-013, DEF-016 and DEF-018 unchanged. Version 0.4 (14/10/2026). Adds DEF-018 (an unexplained npm test failure in the PR #98 build: 3 failures, test names not captured), raised by R. van der Merwe. DEF-001 to DEF-017 unchanged. Version 0.3 (12/10/2026). Adds DEF-017 (the unique index on users.email is absent on the test cluster; FR-1.1 relies on it alone), raised by E. Lindsay; DEF-014 and DEF-015 cell E updated with the observed index absence from the test-cluster listing. DEF-001 to DEF-016 otherwise unchanged. Version 0.2 (12/10/2026). Adds DEF-005 to DEF-016: DEF-007 to DEF-010, DEF-014, and DEF-015 from M3 integration testing (R. van der Merwe); DEF-005, DEF-006, DEF-011 to DEF-013, and DEF-016 raised by E. Lindsay. DEF-001 to DEF-004 unchanged. Version 0.1 (11/10/2026). Register created with DEF-001 to DEF-004.</t>
  </si>
  <si>
    <t>The unique index actorId_1_idempotencyKey_1 was built by scripts/atlas/provision-indexes.js under the temporary civicconnect-temp-provisioner user (TD-004; DEC-003 v0.4 step 5): on the test cluster on 2026-10-14 and on the staging cluster on 2026-10-15.</t>
  </si>
  <si>
    <t>PR #98 (script); PR #102 (test-cluster evidence); PR #111 (staging evidence)</t>
  </si>
  <si>
    <t>docs/evidence/M3-indexes/index_duplicate_refusal_test_2026-10-14.txt, L2: a duplicate (actorId, idempotencyKey) refused with 11000 naming the index, and L2c: entries without a key still accepted. On staging the index is listed as present and unique: docs/evidence/M3-indexes/index_provisioning_staging_run1.txt and _run2.txt (PR #111): RESULT PASS 21 of 21 on the staging cluster, 2026-10-15. Duplicate refusal itself was exercised on the test cluster only.</t>
  </si>
  <si>
    <t>Closed on the test and staging clusters. Residual: production has no cluster yet; DEC-003 v0.4 step 5 must run there before its first deploy.</t>
  </si>
  <si>
    <t>The unique index requestId_1_requestVersion_1 was built by scripts/atlas/provision-indexes.js under the temporary civicconnect-temp-provisioner user (TD-004; DEC-003 v0.4 step 5): on the test cluster on 2026-10-14 and on the staging cluster on 2026-10-15.</t>
  </si>
  <si>
    <t>docs/evidence/M3-indexes/index_duplicate_refusal_test_2026-10-14.txt, L3: a duplicate (requestId, requestVersion) refused with 11000 naming the index. On staging the index is listed as present and unique: docs/evidence/M3-indexes/index_provisioning_staging_run1.txt and _run2.txt (PR #111): RESULT PASS 21 of 21 on the staging cluster, 2026-10-15. Duplicate refusal itself was exercised on the test cluster only.</t>
  </si>
  <si>
    <t>The unique index email_1 was built by scripts/atlas/provision-indexes.js under the temporary civicconnect-temp-provisioner user (TD-004; DEC-003 v0.4 step 5): on the test cluster on 2026-10-14 and on the staging cluster on 2026-10-15. Whether scripts/admin/create-user.js should also check for an existing email before inserting is still to be decided.</t>
  </si>
  <si>
    <t>docs/evidence/M3-indexes/index_duplicate_refusal_test_2026-10-14.txt, L4: a duplicate email refused with 11000 naming the index. On staging the index is listed as present and unique: docs/evidence/M3-indexes/index_provisioning_staging_run1.txt and _run2.txt (PR #111): RESULT PASS 21 of 21 on the staging cluster, 2026-10-15. Duplicate refusal itself was exercised on the test cluster only.</t>
  </si>
  <si>
    <t>DEF-020</t>
  </si>
  <si>
    <t>R. van der Merwe, during the staging deploy (fixture attempt 1)</t>
  </si>
  <si>
    <t>MONGODB_URI in /etc/civicconnect/staging.env named no database, so the application connected to the driver's default database, test, instead of civicconnect, from its first start on staging until the service was restarted with the corrected URI at 16:12:28 UTC on 15/10/2026. Found at about 15:27 UTC, when the first fixture run was refused with "not allowed to do action [find] on [test.users]". The connection and the /health ping succeeded throughout, so the step 7 health check (14:19:22 UTC) did not reveal it. src/config.js states that the application "refuses to start on a missing or malformed value rather than falling back to a default", but it checks only that MONGODB_URI is set and has the mongodb scheme, so a URI without a database name passes. Neither DEC-003 nor .env.example says the URI must name the database.</t>
  </si>
  <si>
    <t>Staging configuration (/etc/civicconnect/staging.env); src/config.js; .env.example; DEC-003 v0.4 (Secrets, deployment procedure); NFR-1.6 (/health)</t>
  </si>
  <si>
    <t>While it lasted, the deployed release candidate could not read or write request data on staging: civicconnect-app has no grants on the test database. /health reported the database up, so the deploy's own check could not see the fault. The same mistake in production would leave the service reporting healthy while every data request failed.</t>
  </si>
  <si>
    <t>/civicconnect added to the URI in /etc/civicconnect/staging.env and the service restarted (by 16:12:28 UTC on 15/10/2026). The perf fixture and cleanup scripts now refuse a URI that does not name the civicconnect database (PR #110). Not done: src/config.js and .env.example do not require the database name; that is for a later code change and the next DEC-003 version.</t>
  </si>
  <si>
    <t>PR #111 (deploy record, section 3, Configuration correction); PR #110 (fixture scripts' database guard)</t>
  </si>
  <si>
    <t>After the correction, the NFR-2.4 load run (16:30:21 to 16:41:31 UTC) logged in all 100 fixture users written to civicconnect at 16:25 and passed, and smoke check 1 (17:02:22 UTC) returned /health 200 with release 30ff0c6 (docs/evidence/M3_Staging_Deploy_v3.0-M3-rc.md, sections 8 and 9; PR #111).</t>
  </si>
  <si>
    <t>Closed on staging. Residual: the application does not refuse a MONGODB_URI without a database name, and /health does not report which database it uses, so the same mistake on another environment would again pass the health check.</t>
  </si>
  <si>
    <t>Robert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</si>
</sst>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4"/>
      <color rgb="FF1F3864"/>
      <name val="Arial"/>
      <family val="2"/>
    </font>
    <font>
      <b/>
      <sz val="10"/>
      <color rgb="FFFFFFFF"/>
      <name val="Arial"/>
      <family val="2"/>
    </font>
    <font>
      <b/>
      <sz val="10"/>
      <color rgb="FF000000"/>
      <name val="Arial"/>
      <family val="2"/>
    </font>
    <font>
      <sz val="10"/>
      <color rgb="FF000000"/>
      <name val="Arial"/>
      <family val="2"/>
    </font>
    <font>
      <sz val="8"/>
      <name val="Calibri"/>
      <family val="2"/>
      <scheme val="minor"/>
    </font>
  </fonts>
  <fills count="4">
    <fill>
      <patternFill patternType="none"/>
    </fill>
    <fill>
      <patternFill patternType="gray125"/>
    </fill>
    <fill>
      <patternFill patternType="solid">
        <fgColor rgb="FF2F5597"/>
        <bgColor indexed="64"/>
      </patternFill>
    </fill>
    <fill>
      <patternFill patternType="solid">
        <fgColor rgb="FFFFFFFF"/>
        <bgColor indexed="64"/>
      </patternFill>
    </fill>
  </fills>
  <borders count="6">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top" wrapText="1"/>
    </xf>
    <xf numFmtId="164" fontId="4" fillId="3" borderId="4" xfId="0" applyNumberFormat="1" applyFont="1" applyFill="1" applyBorder="1" applyAlignment="1">
      <alignment vertical="top" wrapText="1"/>
    </xf>
    <xf numFmtId="0" fontId="4" fillId="3" borderId="4" xfId="0" applyFont="1" applyFill="1" applyBorder="1" applyAlignment="1">
      <alignment vertical="top" wrapText="1"/>
    </xf>
    <xf numFmtId="0" fontId="4" fillId="3" borderId="5"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0"/>
  <sheetViews>
    <sheetView tabSelected="1" zoomScale="70" zoomScaleNormal="70" workbookViewId="0">
      <pane xSplit="2" ySplit="10" topLeftCell="C27" activePane="bottomRight" state="frozen"/>
      <selection pane="topRight"/>
      <selection pane="bottomLeft"/>
      <selection pane="bottomRight" activeCell="K28" sqref="K28"/>
    </sheetView>
  </sheetViews>
  <sheetFormatPr defaultRowHeight="14.4" x14ac:dyDescent="0.3"/>
  <cols>
    <col min="2" max="2" width="10" customWidth="1"/>
    <col min="3" max="3" width="12" customWidth="1"/>
    <col min="4" max="4" width="18" customWidth="1"/>
    <col min="5" max="5" width="48" customWidth="1"/>
    <col min="6" max="6" width="28" customWidth="1"/>
    <col min="7" max="7" width="10" customWidth="1"/>
    <col min="8" max="8" width="40" customWidth="1"/>
    <col min="9" max="9" width="9" customWidth="1"/>
    <col min="10" max="10" width="10" customWidth="1"/>
    <col min="11" max="11" width="44" customWidth="1"/>
    <col min="12" max="12" width="30" customWidth="1"/>
    <col min="13" max="13" width="48" customWidth="1"/>
    <col min="14" max="14" width="40" customWidth="1"/>
    <col min="15" max="15" width="12" customWidth="1"/>
  </cols>
  <sheetData>
    <row r="1" spans="2:15" ht="17.7" customHeight="1" x14ac:dyDescent="0.3">
      <c r="B1" s="1" t="s">
        <v>0</v>
      </c>
    </row>
    <row r="2" spans="2:15" x14ac:dyDescent="0.3">
      <c r="B2" t="s">
        <v>153</v>
      </c>
    </row>
    <row r="3" spans="2:15" x14ac:dyDescent="0.3">
      <c r="B3" t="s">
        <v>1</v>
      </c>
    </row>
    <row r="4" spans="2:15" x14ac:dyDescent="0.3">
      <c r="B4" t="s">
        <v>2</v>
      </c>
    </row>
    <row r="5" spans="2:15" x14ac:dyDescent="0.3">
      <c r="B5" t="s">
        <v>3</v>
      </c>
    </row>
    <row r="6" spans="2:15" x14ac:dyDescent="0.3">
      <c r="B6" t="s">
        <v>4</v>
      </c>
    </row>
    <row r="7" spans="2:15" x14ac:dyDescent="0.3">
      <c r="B7" t="s">
        <v>5</v>
      </c>
    </row>
    <row r="8" spans="2:15" x14ac:dyDescent="0.3">
      <c r="B8" t="s">
        <v>6</v>
      </c>
    </row>
    <row r="10" spans="2:15" ht="26.4" x14ac:dyDescent="0.3">
      <c r="B10" s="2" t="s">
        <v>7</v>
      </c>
      <c r="C10" s="2" t="s">
        <v>8</v>
      </c>
      <c r="D10" s="2" t="s">
        <v>9</v>
      </c>
      <c r="E10" s="2" t="s">
        <v>10</v>
      </c>
      <c r="F10" s="2" t="s">
        <v>11</v>
      </c>
      <c r="G10" s="2" t="s">
        <v>12</v>
      </c>
      <c r="H10" s="2" t="s">
        <v>13</v>
      </c>
      <c r="I10" s="2" t="s">
        <v>14</v>
      </c>
      <c r="J10" s="2" t="s">
        <v>15</v>
      </c>
      <c r="K10" s="2" t="s">
        <v>16</v>
      </c>
      <c r="L10" s="2" t="s">
        <v>17</v>
      </c>
      <c r="M10" s="2" t="s">
        <v>18</v>
      </c>
      <c r="N10" s="2" t="s">
        <v>19</v>
      </c>
      <c r="O10" s="2" t="s">
        <v>20</v>
      </c>
    </row>
    <row r="11" spans="2:15" ht="140.1" customHeight="1" x14ac:dyDescent="0.3">
      <c r="B11" s="3" t="s">
        <v>21</v>
      </c>
      <c r="C11" s="4">
        <f>DATE(2026,10,11)</f>
        <v>46306</v>
      </c>
      <c r="D11" s="5" t="s">
        <v>22</v>
      </c>
      <c r="E11" s="5" t="s">
        <v>23</v>
      </c>
      <c r="F11" s="5" t="s">
        <v>24</v>
      </c>
      <c r="G11" s="5" t="s">
        <v>25</v>
      </c>
      <c r="H11" s="5" t="s">
        <v>26</v>
      </c>
      <c r="I11" s="5" t="s">
        <v>27</v>
      </c>
      <c r="J11" s="5" t="s">
        <v>28</v>
      </c>
      <c r="K11" s="5" t="s">
        <v>29</v>
      </c>
      <c r="L11" s="5" t="s">
        <v>30</v>
      </c>
      <c r="M11" s="5" t="s">
        <v>31</v>
      </c>
      <c r="N11" s="5" t="s">
        <v>32</v>
      </c>
      <c r="O11" s="5" t="s">
        <v>33</v>
      </c>
    </row>
    <row r="12" spans="2:15" ht="140.1" customHeight="1" x14ac:dyDescent="0.3">
      <c r="B12" s="3" t="s">
        <v>34</v>
      </c>
      <c r="C12" s="4">
        <f>DATE(2026,10,11)</f>
        <v>46306</v>
      </c>
      <c r="D12" s="5" t="s">
        <v>35</v>
      </c>
      <c r="E12" s="5" t="s">
        <v>36</v>
      </c>
      <c r="F12" s="5" t="s">
        <v>37</v>
      </c>
      <c r="G12" s="5" t="s">
        <v>25</v>
      </c>
      <c r="H12" s="5" t="s">
        <v>38</v>
      </c>
      <c r="I12" s="5" t="s">
        <v>27</v>
      </c>
      <c r="J12" s="5" t="s">
        <v>28</v>
      </c>
      <c r="K12" s="5" t="s">
        <v>39</v>
      </c>
      <c r="L12" s="5" t="s">
        <v>40</v>
      </c>
      <c r="M12" s="5" t="s">
        <v>41</v>
      </c>
      <c r="N12" s="5" t="s">
        <v>42</v>
      </c>
      <c r="O12" s="5" t="s">
        <v>33</v>
      </c>
    </row>
    <row r="13" spans="2:15" ht="140.1" customHeight="1" x14ac:dyDescent="0.3">
      <c r="B13" s="3" t="s">
        <v>43</v>
      </c>
      <c r="C13" s="4">
        <f>DATE(2026,10,11)</f>
        <v>46306</v>
      </c>
      <c r="D13" s="5" t="s">
        <v>44</v>
      </c>
      <c r="E13" s="5" t="s">
        <v>45</v>
      </c>
      <c r="F13" s="5" t="s">
        <v>46</v>
      </c>
      <c r="G13" s="5" t="s">
        <v>47</v>
      </c>
      <c r="H13" s="5" t="s">
        <v>48</v>
      </c>
      <c r="I13" s="5" t="s">
        <v>27</v>
      </c>
      <c r="J13" s="5" t="s">
        <v>28</v>
      </c>
      <c r="K13" s="5" t="s">
        <v>49</v>
      </c>
      <c r="L13" s="5" t="s">
        <v>50</v>
      </c>
      <c r="M13" s="5" t="s">
        <v>51</v>
      </c>
      <c r="N13" s="5" t="s">
        <v>52</v>
      </c>
      <c r="O13" s="5" t="s">
        <v>33</v>
      </c>
    </row>
    <row r="14" spans="2:15" ht="140.1" customHeight="1" x14ac:dyDescent="0.3">
      <c r="B14" s="3" t="s">
        <v>53</v>
      </c>
      <c r="C14" s="4">
        <f>DATE(2026,10,11)</f>
        <v>46306</v>
      </c>
      <c r="D14" s="5" t="s">
        <v>54</v>
      </c>
      <c r="E14" s="5" t="s">
        <v>55</v>
      </c>
      <c r="F14" s="5" t="s">
        <v>56</v>
      </c>
      <c r="G14" s="5" t="s">
        <v>25</v>
      </c>
      <c r="H14" s="5" t="s">
        <v>57</v>
      </c>
      <c r="I14" s="5" t="s">
        <v>27</v>
      </c>
      <c r="J14" s="5" t="s">
        <v>28</v>
      </c>
      <c r="K14" s="5" t="s">
        <v>58</v>
      </c>
      <c r="L14" s="5" t="s">
        <v>59</v>
      </c>
      <c r="M14" s="5" t="s">
        <v>60</v>
      </c>
      <c r="N14" s="5" t="s">
        <v>42</v>
      </c>
      <c r="O14" s="5" t="s">
        <v>33</v>
      </c>
    </row>
    <row r="15" spans="2:15" ht="140.1" customHeight="1" x14ac:dyDescent="0.3">
      <c r="B15" s="3" t="s">
        <v>61</v>
      </c>
      <c r="C15" s="4">
        <f t="shared" ref="C15:C27" si="0">DATE(2026,10,12)</f>
        <v>46307</v>
      </c>
      <c r="D15" s="5" t="s">
        <v>33</v>
      </c>
      <c r="E15" s="5" t="s">
        <v>62</v>
      </c>
      <c r="F15" s="5" t="s">
        <v>63</v>
      </c>
      <c r="G15" s="5" t="s">
        <v>25</v>
      </c>
      <c r="H15" s="5" t="s">
        <v>64</v>
      </c>
      <c r="I15" s="5" t="s">
        <v>65</v>
      </c>
      <c r="J15" s="5" t="s">
        <v>66</v>
      </c>
      <c r="K15" s="5" t="s">
        <v>67</v>
      </c>
      <c r="L15" s="5" t="s">
        <v>67</v>
      </c>
      <c r="M15" s="5" t="s">
        <v>67</v>
      </c>
      <c r="N15" s="5" t="s">
        <v>68</v>
      </c>
      <c r="O15" s="5" t="s">
        <v>33</v>
      </c>
    </row>
    <row r="16" spans="2:15" ht="140.1" customHeight="1" x14ac:dyDescent="0.3">
      <c r="B16" s="3" t="s">
        <v>69</v>
      </c>
      <c r="C16" s="4">
        <f t="shared" si="0"/>
        <v>46307</v>
      </c>
      <c r="D16" s="5" t="s">
        <v>33</v>
      </c>
      <c r="E16" s="5" t="s">
        <v>144</v>
      </c>
      <c r="F16" s="5" t="s">
        <v>70</v>
      </c>
      <c r="G16" s="5" t="s">
        <v>25</v>
      </c>
      <c r="H16" s="5" t="s">
        <v>71</v>
      </c>
      <c r="I16" s="5" t="s">
        <v>27</v>
      </c>
      <c r="J16" s="5" t="s">
        <v>66</v>
      </c>
      <c r="K16" s="5" t="s">
        <v>67</v>
      </c>
      <c r="L16" s="5" t="s">
        <v>67</v>
      </c>
      <c r="M16" s="5" t="s">
        <v>67</v>
      </c>
      <c r="N16" s="5" t="s">
        <v>72</v>
      </c>
      <c r="O16" s="5" t="s">
        <v>33</v>
      </c>
    </row>
    <row r="17" spans="2:15" ht="140.1" customHeight="1" x14ac:dyDescent="0.3">
      <c r="B17" s="3" t="s">
        <v>73</v>
      </c>
      <c r="C17" s="4">
        <f t="shared" si="0"/>
        <v>46307</v>
      </c>
      <c r="D17" s="5" t="s">
        <v>74</v>
      </c>
      <c r="E17" s="5" t="s">
        <v>75</v>
      </c>
      <c r="F17" s="5" t="s">
        <v>76</v>
      </c>
      <c r="G17" s="5" t="s">
        <v>25</v>
      </c>
      <c r="H17" s="5" t="s">
        <v>77</v>
      </c>
      <c r="I17" s="5" t="s">
        <v>27</v>
      </c>
      <c r="J17" s="5" t="s">
        <v>66</v>
      </c>
      <c r="K17" s="5" t="s">
        <v>78</v>
      </c>
      <c r="L17" s="5" t="s">
        <v>78</v>
      </c>
      <c r="M17" s="5" t="s">
        <v>79</v>
      </c>
      <c r="N17" s="5" t="s">
        <v>80</v>
      </c>
      <c r="O17" s="5" t="s">
        <v>81</v>
      </c>
    </row>
    <row r="18" spans="2:15" ht="140.1" customHeight="1" x14ac:dyDescent="0.3">
      <c r="B18" s="3" t="s">
        <v>82</v>
      </c>
      <c r="C18" s="4">
        <f t="shared" si="0"/>
        <v>46307</v>
      </c>
      <c r="D18" s="5" t="s">
        <v>74</v>
      </c>
      <c r="E18" s="5" t="s">
        <v>83</v>
      </c>
      <c r="F18" s="5" t="s">
        <v>84</v>
      </c>
      <c r="G18" s="5" t="s">
        <v>25</v>
      </c>
      <c r="H18" s="5" t="s">
        <v>85</v>
      </c>
      <c r="I18" s="5" t="s">
        <v>27</v>
      </c>
      <c r="J18" s="5" t="s">
        <v>66</v>
      </c>
      <c r="K18" s="5" t="s">
        <v>78</v>
      </c>
      <c r="L18" s="5" t="s">
        <v>78</v>
      </c>
      <c r="M18" s="5" t="s">
        <v>79</v>
      </c>
      <c r="N18" s="5" t="s">
        <v>86</v>
      </c>
      <c r="O18" s="5" t="s">
        <v>81</v>
      </c>
    </row>
    <row r="19" spans="2:15" ht="140.1" customHeight="1" x14ac:dyDescent="0.3">
      <c r="B19" s="3" t="s">
        <v>87</v>
      </c>
      <c r="C19" s="4">
        <f t="shared" si="0"/>
        <v>46307</v>
      </c>
      <c r="D19" s="5" t="s">
        <v>74</v>
      </c>
      <c r="E19" s="5" t="s">
        <v>88</v>
      </c>
      <c r="F19" s="5" t="s">
        <v>89</v>
      </c>
      <c r="G19" s="5" t="s">
        <v>90</v>
      </c>
      <c r="H19" s="5" t="s">
        <v>91</v>
      </c>
      <c r="I19" s="5" t="s">
        <v>27</v>
      </c>
      <c r="J19" s="5" t="s">
        <v>66</v>
      </c>
      <c r="K19" s="5" t="s">
        <v>78</v>
      </c>
      <c r="L19" s="5" t="s">
        <v>78</v>
      </c>
      <c r="M19" s="5" t="s">
        <v>79</v>
      </c>
      <c r="N19" s="5" t="s">
        <v>92</v>
      </c>
      <c r="O19" s="5" t="s">
        <v>81</v>
      </c>
    </row>
    <row r="20" spans="2:15" ht="140.1" customHeight="1" x14ac:dyDescent="0.3">
      <c r="B20" s="3" t="s">
        <v>93</v>
      </c>
      <c r="C20" s="4">
        <f t="shared" si="0"/>
        <v>46307</v>
      </c>
      <c r="D20" s="5" t="s">
        <v>74</v>
      </c>
      <c r="E20" s="5" t="s">
        <v>94</v>
      </c>
      <c r="F20" s="5" t="s">
        <v>95</v>
      </c>
      <c r="G20" s="5" t="s">
        <v>25</v>
      </c>
      <c r="H20" s="5" t="s">
        <v>96</v>
      </c>
      <c r="I20" s="5" t="s">
        <v>27</v>
      </c>
      <c r="J20" s="5" t="s">
        <v>66</v>
      </c>
      <c r="K20" s="5" t="s">
        <v>78</v>
      </c>
      <c r="L20" s="5" t="s">
        <v>78</v>
      </c>
      <c r="M20" s="5" t="s">
        <v>79</v>
      </c>
      <c r="N20" s="5" t="s">
        <v>97</v>
      </c>
      <c r="O20" s="5" t="s">
        <v>81</v>
      </c>
    </row>
    <row r="21" spans="2:15" ht="140.1" customHeight="1" x14ac:dyDescent="0.3">
      <c r="B21" s="3" t="s">
        <v>98</v>
      </c>
      <c r="C21" s="4">
        <f t="shared" si="0"/>
        <v>46307</v>
      </c>
      <c r="D21" s="5" t="s">
        <v>33</v>
      </c>
      <c r="E21" s="5" t="s">
        <v>99</v>
      </c>
      <c r="F21" s="5" t="s">
        <v>100</v>
      </c>
      <c r="G21" s="5" t="s">
        <v>25</v>
      </c>
      <c r="H21" s="5" t="s">
        <v>101</v>
      </c>
      <c r="I21" s="5" t="s">
        <v>27</v>
      </c>
      <c r="J21" s="5" t="s">
        <v>66</v>
      </c>
      <c r="K21" s="5" t="s">
        <v>67</v>
      </c>
      <c r="L21" s="5" t="s">
        <v>67</v>
      </c>
      <c r="M21" s="5" t="s">
        <v>102</v>
      </c>
      <c r="N21" s="5" t="s">
        <v>103</v>
      </c>
      <c r="O21" s="5" t="s">
        <v>33</v>
      </c>
    </row>
    <row r="22" spans="2:15" ht="140.1" customHeight="1" x14ac:dyDescent="0.3">
      <c r="B22" s="3" t="s">
        <v>104</v>
      </c>
      <c r="C22" s="4">
        <f t="shared" si="0"/>
        <v>46307</v>
      </c>
      <c r="D22" s="5" t="s">
        <v>33</v>
      </c>
      <c r="E22" s="5" t="s">
        <v>105</v>
      </c>
      <c r="F22" s="5" t="s">
        <v>106</v>
      </c>
      <c r="G22" s="5" t="s">
        <v>25</v>
      </c>
      <c r="H22" s="5" t="s">
        <v>107</v>
      </c>
      <c r="I22" s="5" t="s">
        <v>27</v>
      </c>
      <c r="J22" s="5" t="s">
        <v>66</v>
      </c>
      <c r="K22" s="5" t="s">
        <v>67</v>
      </c>
      <c r="L22" s="5" t="s">
        <v>67</v>
      </c>
      <c r="M22" s="5" t="s">
        <v>67</v>
      </c>
      <c r="N22" s="5" t="s">
        <v>108</v>
      </c>
      <c r="O22" s="5" t="s">
        <v>33</v>
      </c>
    </row>
    <row r="23" spans="2:15" ht="140.1" customHeight="1" x14ac:dyDescent="0.3">
      <c r="B23" s="3" t="s">
        <v>109</v>
      </c>
      <c r="C23" s="4">
        <f t="shared" si="0"/>
        <v>46307</v>
      </c>
      <c r="D23" s="5" t="s">
        <v>33</v>
      </c>
      <c r="E23" s="5" t="s">
        <v>110</v>
      </c>
      <c r="F23" s="5" t="s">
        <v>111</v>
      </c>
      <c r="G23" s="5" t="s">
        <v>25</v>
      </c>
      <c r="H23" s="5" t="s">
        <v>112</v>
      </c>
      <c r="I23" s="5" t="s">
        <v>113</v>
      </c>
      <c r="J23" s="5" t="s">
        <v>66</v>
      </c>
      <c r="K23" s="5" t="s">
        <v>67</v>
      </c>
      <c r="L23" s="5" t="s">
        <v>67</v>
      </c>
      <c r="M23" s="5" t="s">
        <v>114</v>
      </c>
      <c r="N23" s="5" t="s">
        <v>115</v>
      </c>
      <c r="O23" s="5" t="s">
        <v>33</v>
      </c>
    </row>
    <row r="24" spans="2:15" ht="140.1" customHeight="1" x14ac:dyDescent="0.3">
      <c r="B24" s="3" t="s">
        <v>116</v>
      </c>
      <c r="C24" s="4">
        <f t="shared" si="0"/>
        <v>46307</v>
      </c>
      <c r="D24" s="5" t="s">
        <v>117</v>
      </c>
      <c r="E24" s="5" t="s">
        <v>118</v>
      </c>
      <c r="F24" s="5" t="s">
        <v>119</v>
      </c>
      <c r="G24" s="5" t="s">
        <v>90</v>
      </c>
      <c r="H24" s="5" t="s">
        <v>120</v>
      </c>
      <c r="I24" s="5" t="s">
        <v>27</v>
      </c>
      <c r="J24" s="5" t="s">
        <v>28</v>
      </c>
      <c r="K24" s="5" t="s">
        <v>154</v>
      </c>
      <c r="L24" s="5" t="s">
        <v>155</v>
      </c>
      <c r="M24" s="5" t="s">
        <v>156</v>
      </c>
      <c r="N24" s="5" t="s">
        <v>157</v>
      </c>
      <c r="O24" s="5" t="s">
        <v>33</v>
      </c>
    </row>
    <row r="25" spans="2:15" ht="140.1" customHeight="1" x14ac:dyDescent="0.3">
      <c r="B25" s="3" t="s">
        <v>121</v>
      </c>
      <c r="C25" s="4">
        <f t="shared" si="0"/>
        <v>46307</v>
      </c>
      <c r="D25" s="5" t="s">
        <v>122</v>
      </c>
      <c r="E25" s="5" t="s">
        <v>123</v>
      </c>
      <c r="F25" s="5" t="s">
        <v>124</v>
      </c>
      <c r="G25" s="5" t="s">
        <v>90</v>
      </c>
      <c r="H25" s="5" t="s">
        <v>125</v>
      </c>
      <c r="I25" s="5" t="s">
        <v>27</v>
      </c>
      <c r="J25" s="5" t="s">
        <v>28</v>
      </c>
      <c r="K25" s="5" t="s">
        <v>158</v>
      </c>
      <c r="L25" s="5" t="s">
        <v>155</v>
      </c>
      <c r="M25" s="5" t="s">
        <v>159</v>
      </c>
      <c r="N25" s="5" t="s">
        <v>157</v>
      </c>
      <c r="O25" s="5" t="s">
        <v>33</v>
      </c>
    </row>
    <row r="26" spans="2:15" ht="140.1" customHeight="1" x14ac:dyDescent="0.3">
      <c r="B26" s="3" t="s">
        <v>126</v>
      </c>
      <c r="C26" s="4">
        <f t="shared" si="0"/>
        <v>46307</v>
      </c>
      <c r="D26" s="5" t="s">
        <v>33</v>
      </c>
      <c r="E26" s="5" t="s">
        <v>127</v>
      </c>
      <c r="F26" s="5" t="s">
        <v>128</v>
      </c>
      <c r="G26" s="5" t="s">
        <v>25</v>
      </c>
      <c r="H26" s="5" t="s">
        <v>129</v>
      </c>
      <c r="I26" s="5" t="s">
        <v>27</v>
      </c>
      <c r="J26" s="5" t="s">
        <v>66</v>
      </c>
      <c r="K26" s="5" t="s">
        <v>130</v>
      </c>
      <c r="L26" s="5" t="s">
        <v>67</v>
      </c>
      <c r="M26" s="5" t="s">
        <v>131</v>
      </c>
      <c r="N26" s="5" t="s">
        <v>132</v>
      </c>
      <c r="O26" s="5" t="s">
        <v>33</v>
      </c>
    </row>
    <row r="27" spans="2:15" ht="174" customHeight="1" x14ac:dyDescent="0.3">
      <c r="B27" s="3" t="s">
        <v>133</v>
      </c>
      <c r="C27" s="4">
        <f t="shared" si="0"/>
        <v>46307</v>
      </c>
      <c r="D27" s="5" t="s">
        <v>33</v>
      </c>
      <c r="E27" s="6" t="s">
        <v>134</v>
      </c>
      <c r="F27" s="6" t="s">
        <v>135</v>
      </c>
      <c r="G27" s="6" t="s">
        <v>90</v>
      </c>
      <c r="H27" s="6" t="s">
        <v>136</v>
      </c>
      <c r="I27" s="6" t="s">
        <v>27</v>
      </c>
      <c r="J27" s="6" t="s">
        <v>28</v>
      </c>
      <c r="K27" s="6" t="s">
        <v>160</v>
      </c>
      <c r="L27" s="6" t="s">
        <v>155</v>
      </c>
      <c r="M27" s="6" t="s">
        <v>161</v>
      </c>
      <c r="N27" s="6" t="s">
        <v>157</v>
      </c>
      <c r="O27" s="6" t="s">
        <v>33</v>
      </c>
    </row>
    <row r="28" spans="2:15" ht="174" customHeight="1" x14ac:dyDescent="0.3">
      <c r="B28" s="3" t="s">
        <v>137</v>
      </c>
      <c r="C28" s="4">
        <f>DATE(2026,10,14)</f>
        <v>46309</v>
      </c>
      <c r="D28" s="5" t="s">
        <v>138</v>
      </c>
      <c r="E28" s="6" t="s">
        <v>139</v>
      </c>
      <c r="F28" s="6" t="s">
        <v>140</v>
      </c>
      <c r="G28" s="6" t="s">
        <v>25</v>
      </c>
      <c r="H28" s="6" t="s">
        <v>141</v>
      </c>
      <c r="I28" s="6" t="s">
        <v>27</v>
      </c>
      <c r="J28" s="6" t="s">
        <v>66</v>
      </c>
      <c r="K28" s="6" t="s">
        <v>142</v>
      </c>
      <c r="L28" s="6" t="s">
        <v>67</v>
      </c>
      <c r="M28" s="6" t="s">
        <v>67</v>
      </c>
      <c r="N28" s="6" t="s">
        <v>143</v>
      </c>
      <c r="O28" s="6" t="s">
        <v>33</v>
      </c>
    </row>
    <row r="29" spans="2:15" ht="174" customHeight="1" x14ac:dyDescent="0.3">
      <c r="B29" s="3" t="s">
        <v>145</v>
      </c>
      <c r="C29" s="4">
        <f>DATE(2026,10,15)</f>
        <v>46310</v>
      </c>
      <c r="D29" s="5" t="s">
        <v>146</v>
      </c>
      <c r="E29" s="6" t="s">
        <v>147</v>
      </c>
      <c r="F29" s="6" t="s">
        <v>148</v>
      </c>
      <c r="G29" s="6" t="s">
        <v>25</v>
      </c>
      <c r="H29" s="6" t="s">
        <v>149</v>
      </c>
      <c r="I29" s="6" t="s">
        <v>65</v>
      </c>
      <c r="J29" s="6" t="s">
        <v>66</v>
      </c>
      <c r="K29" s="6" t="s">
        <v>150</v>
      </c>
      <c r="L29" s="6" t="s">
        <v>67</v>
      </c>
      <c r="M29" s="6" t="s">
        <v>151</v>
      </c>
      <c r="N29" s="6" t="s">
        <v>152</v>
      </c>
      <c r="O29" s="6" t="s">
        <v>33</v>
      </c>
    </row>
    <row r="30" spans="2:15" ht="211.2" x14ac:dyDescent="0.3">
      <c r="B30" s="3" t="s">
        <v>162</v>
      </c>
      <c r="C30" s="4">
        <f>DATE(2026,10,15)</f>
        <v>46310</v>
      </c>
      <c r="D30" s="5" t="s">
        <v>163</v>
      </c>
      <c r="E30" s="6" t="s">
        <v>164</v>
      </c>
      <c r="F30" s="6" t="s">
        <v>165</v>
      </c>
      <c r="G30" s="6" t="s">
        <v>90</v>
      </c>
      <c r="H30" s="6" t="s">
        <v>166</v>
      </c>
      <c r="I30" s="6" t="s">
        <v>27</v>
      </c>
      <c r="J30" s="6" t="s">
        <v>28</v>
      </c>
      <c r="K30" s="6" t="s">
        <v>167</v>
      </c>
      <c r="L30" s="6" t="s">
        <v>168</v>
      </c>
      <c r="M30" s="6" t="s">
        <v>169</v>
      </c>
      <c r="N30" s="6" t="s">
        <v>170</v>
      </c>
      <c r="O30" s="6" t="s">
        <v>171</v>
      </c>
    </row>
  </sheetData>
  <autoFilter ref="B10:O30" xr:uid="{00000000-0001-0000-0000-000000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2026-10-11T15:42:55Z</dcterms:created>
  <dcterms:modified xsi:type="dcterms:W3CDTF">2026-10-15T18:58:52Z</dcterms:modified>
</cp:coreProperties>
</file>