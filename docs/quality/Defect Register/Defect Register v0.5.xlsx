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SEN381\Repo\Ticketing-System\docs\quality\Defect Register\"/>
    </mc:Choice>
  </mc:AlternateContent>
  <xr:revisionPtr revIDLastSave="0" documentId="11_37555524172795758F27DB286EAB191F78FB8A00" xr6:coauthVersionLast="47" xr6:coauthVersionMax="47" xr10:uidLastSave="{00000000-0000-0000-0000-000000000000}"/>
  <bookViews>
    <workbookView xWindow="-120" yWindow="-120" windowWidth="29040" windowHeight="15720" xr2:uid="{00000000-000D-0000-FFFF-FFFF00000000}"/>
  </bookViews>
  <sheets>
    <sheet name="Defect Register" sheetId="1" r:id="rId1"/>
  </sheets>
  <definedNames>
    <definedName name="_xlnm._FilterDatabase" localSheetId="0" hidden="1">'Defect Register'!$B$10:$O$28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 l="1"/>
  <c r="C27" i="1"/>
  <c r="C26" i="1"/>
  <c r="C25" i="1"/>
  <c r="C24" i="1"/>
  <c r="C23" i="1"/>
  <c r="C22" i="1"/>
  <c r="C21" i="1"/>
  <c r="C20" i="1"/>
  <c r="C19" i="1"/>
  <c r="C18" i="1"/>
  <c r="C17" i="1"/>
  <c r="C16" i="1"/>
  <c r="C15" i="1"/>
  <c r="C14" i="1"/>
  <c r="C13" i="1"/>
  <c r="C12" i="1"/>
  <c r="C11" i="1"/>
</calcChain>
</file>

<file path=xl/sharedStrings.xml><?xml version="1.0" encoding="utf-8"?>
<sst xmlns="http://schemas.openxmlformats.org/spreadsheetml/2006/main" count="256" uniqueCount="154">
  <si>
    <t>Defect Register</t>
  </si>
  <si>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0.5 (15/10/2026). DEF-014, DEF-015 and DEF-017 closed: the unique indexes were built on the test and staging clusters (TD-004), raised by R. van der Merwe; DEF-006 records the one-off drop of the test database. Other rows unchanged.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</si>
  <si>
    <t>Severity and priority scales below are a TEAM PROCESS CONVENTION, not a domain value from the requirements.</t>
  </si>
  <si>
    <t>S1 Critical — an acceptance criterion cannot be met, or data lost, corrupted or exposed. Blocks release.</t>
  </si>
  <si>
    <t>S2 Major — a requirement only partly met, or a documented control does not hold in some case. Release only with the limitation recorded.</t>
  </si>
  <si>
    <t>S3 Minor — incorrect behaviour with a workaround, or code and record disagree.</t>
  </si>
  <si>
    <t>S4 Trivial — cosmetic or documentation only.</t>
  </si>
  <si>
    <t>P1 before the M3 release candidate · P2 before M4 · P3 backlog.</t>
  </si>
  <si>
    <t>ID</t>
  </si>
  <si>
    <t>Date raised</t>
  </si>
  <si>
    <t>Found by</t>
  </si>
  <si>
    <t>Defect</t>
  </si>
  <si>
    <t>Affects (requirement / artefact)</t>
  </si>
  <si>
    <t>Severity</t>
  </si>
  <si>
    <t>Business impact</t>
  </si>
  <si>
    <t>Priority</t>
  </si>
  <si>
    <t>Status</t>
  </si>
  <si>
    <t>Fix</t>
  </si>
  <si>
    <t>Fix reference</t>
  </si>
  <si>
    <t>Regression evidence</t>
  </si>
  <si>
    <t>Block or residual risk</t>
  </si>
  <si>
    <t>Owner</t>
  </si>
  <si>
    <t>DEF-001</t>
  </si>
  <si>
    <t>Review (M3 Phase 0 records)</t>
  </si>
  <si>
    <t>Risk Register V0.6: the band conditional formatting covered I3:I17 and the filter covered B2:P15, so RSK-016 to RSK-020 had no band colour and fell outside the filter.</t>
  </si>
  <si>
    <t>Risk Register (controlled artefact)</t>
  </si>
  <si>
    <t>S3</t>
  </si>
  <si>
    <t>High-priority risks RSK-016 and RSK-020 were not visibly banded, and filtering the register silently omitted five risks. A review relying on the filter would miss them.</t>
  </si>
  <si>
    <t>P1</t>
  </si>
  <si>
    <t>Closed</t>
  </si>
  <si>
    <t>Ranges extended to I3:I23 and B2:P23 in Risk Register V0.7, covering every row including RSK-021.</t>
  </si>
  <si>
    <t>Commit 6598b58 (Risk Register V0.7)</t>
  </si>
  <si>
    <t>Read-back of the V0.7 workbook: formatting range I3:I23, filter B2:P23, zero existing cells changed. No automated regression test exists for workbook formatting.</t>
  </si>
  <si>
    <t>Residual: a future row appended beyond row 23 needs the ranges extended again. No release block.</t>
  </si>
  <si>
    <t>Ethan</t>
  </si>
  <si>
    <t>DEF-002</t>
  </si>
  <si>
    <t>Review (OpenAPI update)</t>
  </si>
  <si>
    <t>docs/api/openapi.yaml did not list INTERNAL_ERROR in Problem.code, although the error handler has always sent it for every unrecognised error.</t>
  </si>
  <si>
    <t>DEC-015, docs/api/openapi.yaml, src/middleware/errorHandler.js</t>
  </si>
  <si>
    <t>A client generated from the contract would treat the 500 problem's code as undocumented. The contract understated what the API returns.</t>
  </si>
  <si>
    <t>INTERNAL_ERROR added to Problem.code with the three new Phase 0 codes. A contract test now derives the code set from src/errors.js and the error handler at run time and requires it to equal the documented set.</t>
  </si>
  <si>
    <t>Commit 70d1825 (fix); commit 4921f4c (regression test)</t>
  </si>
  <si>
    <t>tests/openapiContract.test.js. Negative verification NV-25 (removing INTERNAL_ERROR fails the test) and NV-26 (adding an undocumented error type fails the test), docs/evidence/M3-P0/.</t>
  </si>
  <si>
    <t>None. No release block.</t>
  </si>
  <si>
    <t>DEF-003</t>
  </si>
  <si>
    <t>Self-review before first commit</t>
  </si>
  <si>
    <t>Near miss: tests/config.test.js held a literal credential-shaped MongoDB URI (fake value) that the CI secret scan could flag. Caught before it was committed.</t>
  </si>
  <si>
    <t>NFR-3.5, CI secret-scan job</t>
  </si>
  <si>
    <t>S4</t>
  </si>
  <si>
    <t>None realised. Had it been committed, a secret-scan failure would have blocked merging, and the string would sit permanently in history (NFR-3.5 is assessed across the full history).</t>
  </si>
  <si>
    <t>The fake credential is assembled at run time from parts, so no credential-shaped literal exists in the file.</t>
  </si>
  <si>
    <t>Commit 70d1825 (the literal was replaced before that first commit)</t>
  </si>
  <si>
    <t>git log --all -S on the literal returns no commit on any ref (checked 11/10/2026). Gitleaks full-history secret scan passed on the code PR #83 at commit bc867f3 (GitHub Actions run 38152562066, job "Secret scan (full history)", 11/10/2026).</t>
  </si>
  <si>
    <t>None. No history exposure.</t>
  </si>
  <si>
    <t>DEF-004</t>
  </si>
  <si>
    <t>Review before the first smoke run</t>
  </si>
  <si>
    <t>The smoke check's usage comment and the README directed the reader to --base-url http://localhost:&lt;port&gt;, while the server binds IPv4 loopback only (127.0.0.1, DEC-003). On Windows, Node can resolve localhost to ::1 first, so the smoke run could fail to connect.</t>
  </si>
  <si>
    <t>DEC-018 evidence item 2 (smoke check), scripts/smoke/phase0-smoke.js, README.md</t>
  </si>
  <si>
    <t>A connection failure in the smoke run would read as a fault in the application, so the reachability evidence could be wrongly reported as failed, or time spent chasing a non-existent defect.</t>
  </si>
  <si>
    <t>Both smoke-check references changed to http://127.0.0.1:&lt;port&gt;. The browser guidance (README, session.js, DEC-018) is deliberately unchanged: a browser falls back from ::1 to 127.0.0.1 itself, and localhost is what makes the Secure __Host-sid cookie work over plain HTTP.</t>
  </si>
  <si>
    <t>Commit c1514d0 (PR #83)</t>
  </si>
  <si>
    <t>The corrected text in scripts/smoke/phase0-smoke.js and README.md (commit c1514d0), with the reasoning above. No automated test: the defect is in documentation, not behaviour. Not observed failing; found by review before the first run.</t>
  </si>
  <si>
    <t>DEF-005</t>
  </si>
  <si>
    <t>DB-01 v0.3's collection table says roles is read by the guard; DEC-003 v0.2's grant list doesn't include it. Two merged baselined documents disagreeing. No code reads roles today so nothing breaks.</t>
  </si>
  <si>
    <t>DB-01 v0.3 (collection table), DEC-003 v0.2 (database users grant list)</t>
  </si>
  <si>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</si>
  <si>
    <t>P2</t>
  </si>
  <si>
    <t>Open</t>
  </si>
  <si>
    <t>Pending</t>
  </si>
  <si>
    <t>Not blocking. Residual: the two documents stay in conflict until one is corrected through a controlled change.</t>
  </si>
  <si>
    <t>DEF-006</t>
  </si>
  <si>
    <t>The test cluster database is not dropped per run, contradicting DEC-003's test-environment row and our own smoke script docstring. One-off exception, recorded 15/10/2026: the test cluster’s civicconnect database was dropped once, by R. van der Merwe through the Atlas UI, at 2026-10-14 15:55 UTC, before index provisioning (PR #98, decision D4). The database is still not dropped per run, so this defect stands.</t>
  </si>
  <si>
    <t>DEC-003 v0.2 (environment map, Test row), scripts/smoke/phase0-smoke.js</t>
  </si>
  <si>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</si>
  <si>
    <t>Not release-blocking. Residual: any future cluster-based evidence carries the caveat that the database was not clean at the start.</t>
  </si>
  <si>
    <t>DEF-007</t>
  </si>
  <si>
    <t>Integration test run (docs/evidence/M3_API_Test_Run.txt, commit 549854d)</t>
  </si>
  <si>
    <t>Replay returns 200 with a reduced body and no Idempotent-Replayed header. DEC-015 §3 requires the same status and body as the original plus the header. Predates PR #83; originated in the M2 slice.</t>
  </si>
  <si>
    <t>DEC-015 §3, docs/api/openapi.yaml, src/routes/requestRoutes.js:76, src/services/statusTransitionService.js:149-155 (tests/integration/idempotencyKey.integration.test.js case 2b)</t>
  </si>
  <si>
    <t>A client retrying after a timeout cannot treat the retry as the original response and has to handle a second response shape.</t>
  </si>
  <si>
    <t>Pending, separate PR</t>
  </si>
  <si>
    <t>Pending: the same tests re-run unchanged after the fix</t>
  </si>
  <si>
    <t>Open. Not a release block under the scale (S3). No second history entry is written on a replay.</t>
  </si>
  <si>
    <t>Ethan (fix), Robert (tests)</t>
  </si>
  <si>
    <t>DEF-008</t>
  </si>
  <si>
    <t>412 body carries no current ETag; only the stale version, in the detail text. DEC-015 §2. Predates PR #83; originated in the M2 slice.</t>
  </si>
  <si>
    <t>DEC-015 §2, src/errors.js:56-60, src/repositories/requestRepository.js:43, src/services/statusTransitionService.js:75 (tests/integration/ifMatchConflict.integration.test.js)</t>
  </si>
  <si>
    <t>After a conflict the client must make a second request to learn the current version before it can retry.</t>
  </si>
  <si>
    <t>Open. Not a release block under the scale (S3). The stale write itself is refused and nothing is changed.</t>
  </si>
  <si>
    <t>DEF-009</t>
  </si>
  <si>
    <t>Fingerprint omits method and path and is not canonical; a key used on request A is accepted on request B and returns A's result. Predates PR #83; originated in the M2 slice.</t>
  </si>
  <si>
    <t>DEC-015 §3, FR-6.7, src/routes/requestRoutes.js:35-36, src/repositories/historyRepository.js:35-36, src/services/statusTransitionService.js:54-57 (tests/integration/idempotencyKey.integration.test.js cases 2d and 2e)</t>
  </si>
  <si>
    <t>S2</t>
  </si>
  <si>
    <t>A client is told that a transition on request B succeeded when nothing happened to B. The same body with its members in another order is refused as a different payload.</t>
  </si>
  <si>
    <t>Open. S2: release only with the limitation recorded, unless fixed first. Neither request gains a history entry, so no data is written wrongly; the response is false.</t>
  </si>
  <si>
    <t>DEF-010</t>
  </si>
  <si>
    <t>Problem type is idempotency-conflict, not idempotency-key-reused. DEC-015 §3. Predates PR #83; originated in the M2 slice.</t>
  </si>
  <si>
    <t>DEC-015 §3, docs/api/openapi.yaml, tests/openapiContract.test.js, src/errors.js:113 (tests/integration/idempotencyKey.integration.test.js case 2c)</t>
  </si>
  <si>
    <t>Code and decision record disagree on a name. A client written from DEC-015 would not recognise the problem type. The 422 status is correct.</t>
  </si>
  <si>
    <t>Open. Not a release block under the scale (S3).</t>
  </si>
  <si>
    <t>DEF-011</t>
  </si>
  <si>
    <t>Wrong role on a transition returns 422; DEC-015 says 403. (Origin: src/services/statusTransitionService.js line 88 throws TransitionError for every refused transition, including the role refusal from checkTransition in src/domain/requestStatus.js line 127.)</t>
  </si>
  <si>
    <t>DEC-015, src/services/statusTransitionService.js, src/domain/requestStatus.js (checkTransition)</t>
  </si>
  <si>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</si>
  <si>
    <t>Pending: the same tests re-run unchanged after the fix (wrongRoleTransition.integration.test.js)</t>
  </si>
  <si>
    <t>Not blocking. Fix with DEF-007 to DEF-010 in the same PR, same file, same decision.</t>
  </si>
  <si>
    <t>DEF-012</t>
  </si>
  <si>
    <t>A malformed request id returns 500 rather than 400 — unhandled exception on a bad path parameter.</t>
  </si>
  <si>
    <t>API: request id path parameter</t>
  </si>
  <si>
    <t>A client sending a bad id gets an unhandled server error rather than a clear 400, which says the fault is ours when it is theirs, and fills the logs with exceptions that mask real ones.</t>
  </si>
  <si>
    <t>Not blocking. Trivial fix, same PR.</t>
  </si>
  <si>
    <t>DEF-013</t>
  </si>
  <si>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</si>
  <si>
    <t>tests/app.test.js</t>
  </si>
  <si>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</si>
  <si>
    <t>P1 — not because of the test, but because the uncertainty is about a security control.</t>
  </si>
  <si>
    <t>Pending. The 100-run full-suite capture loop (2026-10-12) produced 0 failures, so the failure message is still not captured.</t>
  </si>
  <si>
    <t>Residual risk, and it goes in the Release Evidence Summary by name. No evidence of a real defect after 300 runs, and no explanation either.</t>
  </si>
  <si>
    <t>DEF-014</t>
  </si>
  <si>
    <t>R. van der Merwe (via Negative Verifications)</t>
  </si>
  <si>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</si>
  <si>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partial index on actorId, idempotencyKey), DEC-015 §3, M3 API Test Specification S5, DEC-003 civicconnect-app role (inferred cause)</t>
  </si>
  <si>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</si>
  <si>
    <t>The unique index actorId_1_idempotencyKey_1 was built by scripts/atlas/provision-indexes.js under the temporary civicconnect-temp-provisioner user (TD-004; DEC-003 v0.4 step 5): on the test cluster on 2026-10-14 and on the staging cluster on 2026-10-15.</t>
  </si>
  <si>
    <t>PR #98 (script); PR #102 (test-cluster evidence); PR #111 (staging evidence)</t>
  </si>
  <si>
    <t>docs/evidence/M3-indexes/index_duplicate_refusal_test_2026-10-14.txt, L2: a duplicate (actorId, idempotencyKey) refused with 11000 naming the index, and L2c: entries without a key still accepted. On staging the index is listed as present and unique: docs/evidence/M3-indexes/index_provisioning_staging_run1.txt and _run2.txt (PR #111): RESULT PASS 21 of 21 on the staging cluster, 2026-10-15. Duplicate refusal itself was exercised on the test cluster only.</t>
  </si>
  <si>
    <t>Closed on the test and staging clusters. Residual: production has no cluster yet; DEC-003 v0.4 step 5 must run there before its first deploy.</t>
  </si>
  <si>
    <t>DEF-015</t>
  </si>
  <si>
    <t>R. van der Merwe</t>
  </si>
  <si>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</si>
  <si>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index on requestId, requestVersion), DEC-016 decision 4, M3 API Test Specification S5, DEC-003 civicconnect-app role (inferred cause)</t>
  </si>
  <si>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</si>
  <si>
    <t>The unique index requestId_1_requestVersion_1 was built by scripts/atlas/provision-indexes.js under the temporary civicconnect-temp-provisioner user (TD-004; DEC-003 v0.4 step 5): on the test cluster on 2026-10-14 and on the staging cluster on 2026-10-15.</t>
  </si>
  <si>
    <t>docs/evidence/M3-indexes/index_duplicate_refusal_test_2026-10-14.txt, L3: a duplicate (requestId, requestVersion)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</si>
  <si>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DEF-016</t>
  </si>
  <si>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</si>
  <si>
    <t>AC-NFR-1.6, tests/app.test.js, npm test and the CI test job; related to DEF-013</t>
  </si>
  <si>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</si>
  <si>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</si>
  <si>
    <t>Pending. Observed on 2026-10-12: 1 failure, in the NV-56 run, out of the full-suite runs made for NV-55 to NV-65. Failure message not captured.</t>
  </si>
  <si>
    <t>Not release-blocking (S3). Residual: an intermittent fault in the health endpoint is not ruled out, and the CI gate can go red without a real fault.</t>
  </si>
  <si>
    <t>DEF-017</t>
  </si>
  <si>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</si>
  <si>
    <t>FR-1.1, src/models/User.js (unique index on email), scripts/admin/create-user.js, src/repositories/userRepository.js, DB-01, DEC-018; cause and fix: TD-004</t>
  </si>
  <si>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</si>
  <si>
    <t>The unique index email_1 was built by scripts/atlas/provision-indexes.js under the temporary civicconnect-temp-provisioner user (TD-004; DEC-003 v0.4 step 5): on the test cluster on 2026-10-14 and on the staging cluster on 2026-10-15. Whether scripts/admin/create-user.js should also check for an existing email before inserting is still to be decided.</t>
  </si>
  <si>
    <t>docs/evidence/M3-indexes/index_duplicate_refusal_test_2026-10-14.txt, L4: a duplicate email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</si>
  <si>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DEF-018</t>
  </si>
  <si>
    <t>Ethan, during the PR #98 build on 13/10/2026 (UTC)</t>
  </si>
  <si>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</si>
  <si>
    <t>npm test (full suite). Not known whether related to DEF-013 or DEF-016: the failing tests were not captured.</t>
  </si>
  <si>
    <t>npm test is the CI gate; an unexplained failure can't be told apart from a real fault and invites re-running until green; if the failures included DEF-013's session-cookie test, the uncertainty is about a security control.</t>
  </si>
  <si>
    <t>Capture test names and messages with a reporter, decide whether the cause is in the test setup or the app if it recurs, fix it without weakening any assertion, and never re-run until green.</t>
  </si>
  <si>
    <t>Not release-blocking (S3). Residual: the cause of three test failures is unknown, and they cannot be ruled out as a real 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</si>
</sst>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4" fillId="3" borderId="5"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28"/>
  <sheetViews>
    <sheetView tabSelected="1" zoomScaleNormal="100" workbookViewId="0">
      <pane xSplit="2" ySplit="10" topLeftCell="C11" activePane="bottomRight" state="frozen"/>
      <selection pane="topRight"/>
      <selection pane="bottomLeft"/>
      <selection pane="bottomRight" activeCell="C2" sqref="C2"/>
    </sheetView>
  </sheetViews>
  <sheetFormatPr defaultRowHeight="15" x14ac:dyDescent="0.25"/>
  <cols>
    <col min="2" max="2" width="10" customWidth="1"/>
    <col min="3" max="3" width="12" customWidth="1"/>
    <col min="4" max="4" width="18" customWidth="1"/>
    <col min="5" max="5" width="48" customWidth="1"/>
    <col min="6" max="6" width="28" customWidth="1"/>
    <col min="7" max="7" width="10" customWidth="1"/>
    <col min="8" max="8" width="40" customWidth="1"/>
    <col min="9" max="9" width="9" customWidth="1"/>
    <col min="10" max="10" width="10" customWidth="1"/>
    <col min="11" max="11" width="44" customWidth="1"/>
    <col min="12" max="12" width="30" customWidth="1"/>
    <col min="13" max="13" width="48" customWidth="1"/>
    <col min="14" max="14" width="40" customWidth="1"/>
    <col min="15" max="15" width="12" customWidth="1"/>
  </cols>
  <sheetData>
    <row r="1" spans="2:15" ht="17.649999999999999" customHeight="1" x14ac:dyDescent="0.25">
      <c r="B1" s="1" t="s">
        <v>0</v>
      </c>
    </row>
    <row r="2" spans="2:15" x14ac:dyDescent="0.25">
      <c r="B2" t="s">
        <v>1</v>
      </c>
    </row>
    <row r="3" spans="2:15" x14ac:dyDescent="0.25">
      <c r="B3" t="s">
        <v>2</v>
      </c>
    </row>
    <row r="4" spans="2:15" x14ac:dyDescent="0.25">
      <c r="B4" t="s">
        <v>3</v>
      </c>
    </row>
    <row r="5" spans="2:15" x14ac:dyDescent="0.25">
      <c r="B5" t="s">
        <v>4</v>
      </c>
    </row>
    <row r="6" spans="2:15" x14ac:dyDescent="0.25">
      <c r="B6" t="s">
        <v>5</v>
      </c>
    </row>
    <row r="7" spans="2:15" x14ac:dyDescent="0.25">
      <c r="B7" t="s">
        <v>6</v>
      </c>
    </row>
    <row r="8" spans="2:15" x14ac:dyDescent="0.25">
      <c r="B8" t="s">
        <v>7</v>
      </c>
    </row>
    <row r="10" spans="2:15" ht="25.5" customHeight="1" x14ac:dyDescent="0.25">
      <c r="B10" s="2" t="s">
        <v>8</v>
      </c>
      <c r="C10" s="2" t="s">
        <v>9</v>
      </c>
      <c r="D10" s="2" t="s">
        <v>10</v>
      </c>
      <c r="E10" s="2" t="s">
        <v>11</v>
      </c>
      <c r="F10" s="2" t="s">
        <v>12</v>
      </c>
      <c r="G10" s="2" t="s">
        <v>13</v>
      </c>
      <c r="H10" s="2" t="s">
        <v>14</v>
      </c>
      <c r="I10" s="2" t="s">
        <v>15</v>
      </c>
      <c r="J10" s="2" t="s">
        <v>16</v>
      </c>
      <c r="K10" s="2" t="s">
        <v>17</v>
      </c>
      <c r="L10" s="2" t="s">
        <v>18</v>
      </c>
      <c r="M10" s="2" t="s">
        <v>19</v>
      </c>
      <c r="N10" s="2" t="s">
        <v>20</v>
      </c>
      <c r="O10" s="2" t="s">
        <v>21</v>
      </c>
    </row>
    <row r="11" spans="2:15" ht="140.1" customHeight="1" x14ac:dyDescent="0.25">
      <c r="B11" s="3" t="s">
        <v>22</v>
      </c>
      <c r="C11" s="4">
        <f>DATE(2026,10,11)</f>
        <v>46306</v>
      </c>
      <c r="D11" s="5" t="s">
        <v>23</v>
      </c>
      <c r="E11" s="5" t="s">
        <v>24</v>
      </c>
      <c r="F11" s="5" t="s">
        <v>25</v>
      </c>
      <c r="G11" s="5" t="s">
        <v>26</v>
      </c>
      <c r="H11" s="5" t="s">
        <v>27</v>
      </c>
      <c r="I11" s="5" t="s">
        <v>28</v>
      </c>
      <c r="J11" s="5" t="s">
        <v>29</v>
      </c>
      <c r="K11" s="5" t="s">
        <v>30</v>
      </c>
      <c r="L11" s="5" t="s">
        <v>31</v>
      </c>
      <c r="M11" s="5" t="s">
        <v>32</v>
      </c>
      <c r="N11" s="5" t="s">
        <v>33</v>
      </c>
      <c r="O11" s="5" t="s">
        <v>34</v>
      </c>
    </row>
    <row r="12" spans="2:15" ht="140.1" customHeight="1" x14ac:dyDescent="0.25">
      <c r="B12" s="3" t="s">
        <v>35</v>
      </c>
      <c r="C12" s="4">
        <f>DATE(2026,10,11)</f>
        <v>46306</v>
      </c>
      <c r="D12" s="5" t="s">
        <v>36</v>
      </c>
      <c r="E12" s="5" t="s">
        <v>37</v>
      </c>
      <c r="F12" s="5" t="s">
        <v>38</v>
      </c>
      <c r="G12" s="5" t="s">
        <v>26</v>
      </c>
      <c r="H12" s="5" t="s">
        <v>39</v>
      </c>
      <c r="I12" s="5" t="s">
        <v>28</v>
      </c>
      <c r="J12" s="5" t="s">
        <v>29</v>
      </c>
      <c r="K12" s="5" t="s">
        <v>40</v>
      </c>
      <c r="L12" s="5" t="s">
        <v>41</v>
      </c>
      <c r="M12" s="5" t="s">
        <v>42</v>
      </c>
      <c r="N12" s="5" t="s">
        <v>43</v>
      </c>
      <c r="O12" s="5" t="s">
        <v>34</v>
      </c>
    </row>
    <row r="13" spans="2:15" ht="140.1" customHeight="1" x14ac:dyDescent="0.25">
      <c r="B13" s="3" t="s">
        <v>44</v>
      </c>
      <c r="C13" s="4">
        <f>DATE(2026,10,11)</f>
        <v>46306</v>
      </c>
      <c r="D13" s="5" t="s">
        <v>45</v>
      </c>
      <c r="E13" s="5" t="s">
        <v>46</v>
      </c>
      <c r="F13" s="5" t="s">
        <v>47</v>
      </c>
      <c r="G13" s="5" t="s">
        <v>48</v>
      </c>
      <c r="H13" s="5" t="s">
        <v>49</v>
      </c>
      <c r="I13" s="5" t="s">
        <v>28</v>
      </c>
      <c r="J13" s="5" t="s">
        <v>29</v>
      </c>
      <c r="K13" s="5" t="s">
        <v>50</v>
      </c>
      <c r="L13" s="5" t="s">
        <v>51</v>
      </c>
      <c r="M13" s="5" t="s">
        <v>52</v>
      </c>
      <c r="N13" s="5" t="s">
        <v>53</v>
      </c>
      <c r="O13" s="5" t="s">
        <v>34</v>
      </c>
    </row>
    <row r="14" spans="2:15" ht="140.1" customHeight="1" x14ac:dyDescent="0.25">
      <c r="B14" s="3" t="s">
        <v>54</v>
      </c>
      <c r="C14" s="4">
        <f>DATE(2026,10,11)</f>
        <v>46306</v>
      </c>
      <c r="D14" s="5" t="s">
        <v>55</v>
      </c>
      <c r="E14" s="5" t="s">
        <v>56</v>
      </c>
      <c r="F14" s="5" t="s">
        <v>57</v>
      </c>
      <c r="G14" s="5" t="s">
        <v>26</v>
      </c>
      <c r="H14" s="5" t="s">
        <v>58</v>
      </c>
      <c r="I14" s="5" t="s">
        <v>28</v>
      </c>
      <c r="J14" s="5" t="s">
        <v>29</v>
      </c>
      <c r="K14" s="5" t="s">
        <v>59</v>
      </c>
      <c r="L14" s="5" t="s">
        <v>60</v>
      </c>
      <c r="M14" s="5" t="s">
        <v>61</v>
      </c>
      <c r="N14" s="5" t="s">
        <v>43</v>
      </c>
      <c r="O14" s="5" t="s">
        <v>34</v>
      </c>
    </row>
    <row r="15" spans="2:15" ht="140.1" customHeight="1" x14ac:dyDescent="0.25">
      <c r="B15" s="3" t="s">
        <v>62</v>
      </c>
      <c r="C15" s="4">
        <f t="shared" ref="C15:C27" si="0">DATE(2026,10,12)</f>
        <v>46307</v>
      </c>
      <c r="D15" s="5" t="s">
        <v>34</v>
      </c>
      <c r="E15" s="5" t="s">
        <v>63</v>
      </c>
      <c r="F15" s="5" t="s">
        <v>64</v>
      </c>
      <c r="G15" s="5" t="s">
        <v>26</v>
      </c>
      <c r="H15" s="5" t="s">
        <v>65</v>
      </c>
      <c r="I15" s="5" t="s">
        <v>66</v>
      </c>
      <c r="J15" s="5" t="s">
        <v>67</v>
      </c>
      <c r="K15" s="5" t="s">
        <v>68</v>
      </c>
      <c r="L15" s="5" t="s">
        <v>68</v>
      </c>
      <c r="M15" s="5" t="s">
        <v>68</v>
      </c>
      <c r="N15" s="5" t="s">
        <v>69</v>
      </c>
      <c r="O15" s="5" t="s">
        <v>34</v>
      </c>
    </row>
    <row r="16" spans="2:15" ht="140.1" customHeight="1" x14ac:dyDescent="0.25">
      <c r="B16" s="3" t="s">
        <v>70</v>
      </c>
      <c r="C16" s="4">
        <f t="shared" si="0"/>
        <v>46307</v>
      </c>
      <c r="D16" s="5" t="s">
        <v>34</v>
      </c>
      <c r="E16" s="5" t="s">
        <v>71</v>
      </c>
      <c r="F16" s="5" t="s">
        <v>72</v>
      </c>
      <c r="G16" s="5" t="s">
        <v>26</v>
      </c>
      <c r="H16" s="5" t="s">
        <v>73</v>
      </c>
      <c r="I16" s="5" t="s">
        <v>28</v>
      </c>
      <c r="J16" s="5" t="s">
        <v>67</v>
      </c>
      <c r="K16" s="5" t="s">
        <v>68</v>
      </c>
      <c r="L16" s="5" t="s">
        <v>68</v>
      </c>
      <c r="M16" s="5" t="s">
        <v>68</v>
      </c>
      <c r="N16" s="5" t="s">
        <v>74</v>
      </c>
      <c r="O16" s="5" t="s">
        <v>34</v>
      </c>
    </row>
    <row r="17" spans="2:15" ht="140.1" customHeight="1" x14ac:dyDescent="0.25">
      <c r="B17" s="3" t="s">
        <v>75</v>
      </c>
      <c r="C17" s="4">
        <f t="shared" si="0"/>
        <v>46307</v>
      </c>
      <c r="D17" s="5" t="s">
        <v>76</v>
      </c>
      <c r="E17" s="5" t="s">
        <v>77</v>
      </c>
      <c r="F17" s="5" t="s">
        <v>78</v>
      </c>
      <c r="G17" s="5" t="s">
        <v>26</v>
      </c>
      <c r="H17" s="5" t="s">
        <v>79</v>
      </c>
      <c r="I17" s="5" t="s">
        <v>28</v>
      </c>
      <c r="J17" s="5" t="s">
        <v>67</v>
      </c>
      <c r="K17" s="5" t="s">
        <v>80</v>
      </c>
      <c r="L17" s="5" t="s">
        <v>80</v>
      </c>
      <c r="M17" s="5" t="s">
        <v>81</v>
      </c>
      <c r="N17" s="5" t="s">
        <v>82</v>
      </c>
      <c r="O17" s="5" t="s">
        <v>83</v>
      </c>
    </row>
    <row r="18" spans="2:15" ht="140.1" customHeight="1" x14ac:dyDescent="0.25">
      <c r="B18" s="3" t="s">
        <v>84</v>
      </c>
      <c r="C18" s="4">
        <f t="shared" si="0"/>
        <v>46307</v>
      </c>
      <c r="D18" s="5" t="s">
        <v>76</v>
      </c>
      <c r="E18" s="5" t="s">
        <v>85</v>
      </c>
      <c r="F18" s="5" t="s">
        <v>86</v>
      </c>
      <c r="G18" s="5" t="s">
        <v>26</v>
      </c>
      <c r="H18" s="5" t="s">
        <v>87</v>
      </c>
      <c r="I18" s="5" t="s">
        <v>28</v>
      </c>
      <c r="J18" s="5" t="s">
        <v>67</v>
      </c>
      <c r="K18" s="5" t="s">
        <v>80</v>
      </c>
      <c r="L18" s="5" t="s">
        <v>80</v>
      </c>
      <c r="M18" s="5" t="s">
        <v>81</v>
      </c>
      <c r="N18" s="5" t="s">
        <v>88</v>
      </c>
      <c r="O18" s="5" t="s">
        <v>83</v>
      </c>
    </row>
    <row r="19" spans="2:15" ht="140.1" customHeight="1" x14ac:dyDescent="0.25">
      <c r="B19" s="3" t="s">
        <v>89</v>
      </c>
      <c r="C19" s="4">
        <f t="shared" si="0"/>
        <v>46307</v>
      </c>
      <c r="D19" s="5" t="s">
        <v>76</v>
      </c>
      <c r="E19" s="5" t="s">
        <v>90</v>
      </c>
      <c r="F19" s="5" t="s">
        <v>91</v>
      </c>
      <c r="G19" s="5" t="s">
        <v>92</v>
      </c>
      <c r="H19" s="5" t="s">
        <v>93</v>
      </c>
      <c r="I19" s="5" t="s">
        <v>28</v>
      </c>
      <c r="J19" s="5" t="s">
        <v>67</v>
      </c>
      <c r="K19" s="5" t="s">
        <v>80</v>
      </c>
      <c r="L19" s="5" t="s">
        <v>80</v>
      </c>
      <c r="M19" s="5" t="s">
        <v>81</v>
      </c>
      <c r="N19" s="5" t="s">
        <v>94</v>
      </c>
      <c r="O19" s="5" t="s">
        <v>83</v>
      </c>
    </row>
    <row r="20" spans="2:15" ht="140.1" customHeight="1" x14ac:dyDescent="0.25">
      <c r="B20" s="3" t="s">
        <v>95</v>
      </c>
      <c r="C20" s="4">
        <f t="shared" si="0"/>
        <v>46307</v>
      </c>
      <c r="D20" s="5" t="s">
        <v>76</v>
      </c>
      <c r="E20" s="5" t="s">
        <v>96</v>
      </c>
      <c r="F20" s="5" t="s">
        <v>97</v>
      </c>
      <c r="G20" s="5" t="s">
        <v>26</v>
      </c>
      <c r="H20" s="5" t="s">
        <v>98</v>
      </c>
      <c r="I20" s="5" t="s">
        <v>28</v>
      </c>
      <c r="J20" s="5" t="s">
        <v>67</v>
      </c>
      <c r="K20" s="5" t="s">
        <v>80</v>
      </c>
      <c r="L20" s="5" t="s">
        <v>80</v>
      </c>
      <c r="M20" s="5" t="s">
        <v>81</v>
      </c>
      <c r="N20" s="5" t="s">
        <v>99</v>
      </c>
      <c r="O20" s="5" t="s">
        <v>83</v>
      </c>
    </row>
    <row r="21" spans="2:15" ht="140.1" customHeight="1" x14ac:dyDescent="0.25">
      <c r="B21" s="3" t="s">
        <v>100</v>
      </c>
      <c r="C21" s="4">
        <f t="shared" si="0"/>
        <v>46307</v>
      </c>
      <c r="D21" s="5" t="s">
        <v>34</v>
      </c>
      <c r="E21" s="5" t="s">
        <v>101</v>
      </c>
      <c r="F21" s="5" t="s">
        <v>102</v>
      </c>
      <c r="G21" s="5" t="s">
        <v>26</v>
      </c>
      <c r="H21" s="5" t="s">
        <v>103</v>
      </c>
      <c r="I21" s="5" t="s">
        <v>28</v>
      </c>
      <c r="J21" s="5" t="s">
        <v>67</v>
      </c>
      <c r="K21" s="5" t="s">
        <v>68</v>
      </c>
      <c r="L21" s="5" t="s">
        <v>68</v>
      </c>
      <c r="M21" s="5" t="s">
        <v>104</v>
      </c>
      <c r="N21" s="5" t="s">
        <v>105</v>
      </c>
      <c r="O21" s="5" t="s">
        <v>34</v>
      </c>
    </row>
    <row r="22" spans="2:15" ht="140.1" customHeight="1" x14ac:dyDescent="0.25">
      <c r="B22" s="3" t="s">
        <v>106</v>
      </c>
      <c r="C22" s="4">
        <f t="shared" si="0"/>
        <v>46307</v>
      </c>
      <c r="D22" s="5" t="s">
        <v>34</v>
      </c>
      <c r="E22" s="5" t="s">
        <v>107</v>
      </c>
      <c r="F22" s="5" t="s">
        <v>108</v>
      </c>
      <c r="G22" s="5" t="s">
        <v>26</v>
      </c>
      <c r="H22" s="5" t="s">
        <v>109</v>
      </c>
      <c r="I22" s="5" t="s">
        <v>28</v>
      </c>
      <c r="J22" s="5" t="s">
        <v>67</v>
      </c>
      <c r="K22" s="5" t="s">
        <v>68</v>
      </c>
      <c r="L22" s="5" t="s">
        <v>68</v>
      </c>
      <c r="M22" s="5" t="s">
        <v>68</v>
      </c>
      <c r="N22" s="5" t="s">
        <v>110</v>
      </c>
      <c r="O22" s="5" t="s">
        <v>34</v>
      </c>
    </row>
    <row r="23" spans="2:15" ht="140.1" customHeight="1" x14ac:dyDescent="0.25">
      <c r="B23" s="3" t="s">
        <v>111</v>
      </c>
      <c r="C23" s="4">
        <f t="shared" si="0"/>
        <v>46307</v>
      </c>
      <c r="D23" s="5" t="s">
        <v>34</v>
      </c>
      <c r="E23" s="5" t="s">
        <v>112</v>
      </c>
      <c r="F23" s="5" t="s">
        <v>113</v>
      </c>
      <c r="G23" s="5" t="s">
        <v>26</v>
      </c>
      <c r="H23" s="5" t="s">
        <v>114</v>
      </c>
      <c r="I23" s="5" t="s">
        <v>115</v>
      </c>
      <c r="J23" s="5" t="s">
        <v>67</v>
      </c>
      <c r="K23" s="5" t="s">
        <v>68</v>
      </c>
      <c r="L23" s="5" t="s">
        <v>68</v>
      </c>
      <c r="M23" s="5" t="s">
        <v>116</v>
      </c>
      <c r="N23" s="5" t="s">
        <v>117</v>
      </c>
      <c r="O23" s="5" t="s">
        <v>34</v>
      </c>
    </row>
    <row r="24" spans="2:15" ht="140.1" customHeight="1" x14ac:dyDescent="0.25">
      <c r="B24" s="3" t="s">
        <v>118</v>
      </c>
      <c r="C24" s="4">
        <f t="shared" si="0"/>
        <v>46307</v>
      </c>
      <c r="D24" s="5" t="s">
        <v>119</v>
      </c>
      <c r="E24" s="5" t="s">
        <v>120</v>
      </c>
      <c r="F24" s="5" t="s">
        <v>121</v>
      </c>
      <c r="G24" s="5" t="s">
        <v>92</v>
      </c>
      <c r="H24" s="5" t="s">
        <v>122</v>
      </c>
      <c r="I24" s="5" t="s">
        <v>28</v>
      </c>
      <c r="J24" s="5" t="s">
        <v>29</v>
      </c>
      <c r="K24" s="5" t="s">
        <v>123</v>
      </c>
      <c r="L24" s="5" t="s">
        <v>124</v>
      </c>
      <c r="M24" s="5" t="s">
        <v>125</v>
      </c>
      <c r="N24" s="5" t="s">
        <v>126</v>
      </c>
      <c r="O24" s="5" t="s">
        <v>34</v>
      </c>
    </row>
    <row r="25" spans="2:15" ht="140.1" customHeight="1" x14ac:dyDescent="0.25">
      <c r="B25" s="3" t="s">
        <v>127</v>
      </c>
      <c r="C25" s="4">
        <f t="shared" si="0"/>
        <v>46307</v>
      </c>
      <c r="D25" s="5" t="s">
        <v>128</v>
      </c>
      <c r="E25" s="5" t="s">
        <v>129</v>
      </c>
      <c r="F25" s="5" t="s">
        <v>130</v>
      </c>
      <c r="G25" s="5" t="s">
        <v>92</v>
      </c>
      <c r="H25" s="5" t="s">
        <v>131</v>
      </c>
      <c r="I25" s="5" t="s">
        <v>28</v>
      </c>
      <c r="J25" s="5" t="s">
        <v>29</v>
      </c>
      <c r="K25" s="5" t="s">
        <v>132</v>
      </c>
      <c r="L25" s="5" t="s">
        <v>124</v>
      </c>
      <c r="M25" s="5" t="s">
        <v>133</v>
      </c>
      <c r="N25" s="5" t="s">
        <v>126</v>
      </c>
      <c r="O25" s="5" t="s">
        <v>34</v>
      </c>
    </row>
    <row r="26" spans="2:15" ht="140.1" customHeight="1" x14ac:dyDescent="0.25">
      <c r="B26" s="3" t="s">
        <v>134</v>
      </c>
      <c r="C26" s="4">
        <f t="shared" si="0"/>
        <v>46307</v>
      </c>
      <c r="D26" s="5" t="s">
        <v>34</v>
      </c>
      <c r="E26" s="5" t="s">
        <v>135</v>
      </c>
      <c r="F26" s="5" t="s">
        <v>136</v>
      </c>
      <c r="G26" s="5" t="s">
        <v>26</v>
      </c>
      <c r="H26" s="5" t="s">
        <v>137</v>
      </c>
      <c r="I26" s="5" t="s">
        <v>28</v>
      </c>
      <c r="J26" s="5" t="s">
        <v>67</v>
      </c>
      <c r="K26" s="5" t="s">
        <v>138</v>
      </c>
      <c r="L26" s="5" t="s">
        <v>68</v>
      </c>
      <c r="M26" s="5" t="s">
        <v>139</v>
      </c>
      <c r="N26" s="5" t="s">
        <v>140</v>
      </c>
      <c r="O26" s="5" t="s">
        <v>34</v>
      </c>
    </row>
    <row r="27" spans="2:15" ht="174" customHeight="1" x14ac:dyDescent="0.25">
      <c r="B27" s="3" t="s">
        <v>141</v>
      </c>
      <c r="C27" s="4">
        <f t="shared" si="0"/>
        <v>46307</v>
      </c>
      <c r="D27" s="5" t="s">
        <v>34</v>
      </c>
      <c r="E27" s="6" t="s">
        <v>142</v>
      </c>
      <c r="F27" s="6" t="s">
        <v>143</v>
      </c>
      <c r="G27" s="6" t="s">
        <v>92</v>
      </c>
      <c r="H27" s="6" t="s">
        <v>144</v>
      </c>
      <c r="I27" s="6" t="s">
        <v>28</v>
      </c>
      <c r="J27" s="6" t="s">
        <v>29</v>
      </c>
      <c r="K27" s="6" t="s">
        <v>145</v>
      </c>
      <c r="L27" s="6" t="s">
        <v>124</v>
      </c>
      <c r="M27" s="6" t="s">
        <v>146</v>
      </c>
      <c r="N27" s="6" t="s">
        <v>126</v>
      </c>
      <c r="O27" s="6" t="s">
        <v>34</v>
      </c>
    </row>
    <row r="28" spans="2:15" ht="174" customHeight="1" x14ac:dyDescent="0.25">
      <c r="B28" s="3" t="s">
        <v>147</v>
      </c>
      <c r="C28" s="4">
        <f>DATE(2026,10,14)</f>
        <v>46309</v>
      </c>
      <c r="D28" s="5" t="s">
        <v>148</v>
      </c>
      <c r="E28" s="6" t="s">
        <v>149</v>
      </c>
      <c r="F28" s="6" t="s">
        <v>150</v>
      </c>
      <c r="G28" s="6" t="s">
        <v>26</v>
      </c>
      <c r="H28" s="6" t="s">
        <v>151</v>
      </c>
      <c r="I28" s="6" t="s">
        <v>28</v>
      </c>
      <c r="J28" s="6" t="s">
        <v>67</v>
      </c>
      <c r="K28" s="6" t="s">
        <v>152</v>
      </c>
      <c r="L28" s="6" t="s">
        <v>68</v>
      </c>
      <c r="M28" s="6" t="s">
        <v>68</v>
      </c>
      <c r="N28" s="6" t="s">
        <v>153</v>
      </c>
      <c r="O28" s="6" t="s">
        <v>34</v>
      </c>
    </row>
  </sheetData>
  <autoFilter ref="B10:O28" xr:uid="{00000000-0009-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van der Merwe</cp:lastModifiedBy>
  <dcterms:created xsi:type="dcterms:W3CDTF">2026-10-11T15:42:55Z</dcterms:created>
  <dcterms:modified xsi:type="dcterms:W3CDTF">2026-10-15T17:14:26Z</dcterms:modified>
</cp:coreProperties>
</file>