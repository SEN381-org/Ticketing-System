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4c906530d9ff38bc/Desktop/SEN381/Ticketing-System/docs/quality/Defect Register/"/>
    </mc:Choice>
  </mc:AlternateContent>
  <xr:revisionPtr revIDLastSave="54" documentId="11_1E414E22D62B1D240B6507ADAE6B1F6F79FB2D4F" xr6:coauthVersionLast="47" xr6:coauthVersionMax="47" xr10:uidLastSave="{1B5066CA-98E1-4E5B-B343-4A6B25D85A11}"/>
  <bookViews>
    <workbookView xWindow="-108" yWindow="-108" windowWidth="30936" windowHeight="17496" xr2:uid="{00000000-000D-0000-FFFF-FFFF00000000}"/>
  </bookViews>
  <sheets>
    <sheet name="Defect Register" sheetId="1" r:id="rId1"/>
  </sheets>
  <definedNames>
    <definedName name="_xlnm._FilterDatabase" localSheetId="0" hidden="1">'Defect Register'!$B$10:$O$29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 l="1"/>
  <c r="C28" i="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<sst xmlns="http://schemas.openxmlformats.org/spreadsheetml/2006/main" count="269" uniqueCount="164">
  <si>
    <t>Defect Register</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</si>
  <si>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</si>
  <si>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</si>
  <si>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</si>
  <si>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</si>
  <si>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</si>
  <si>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</si>
  <si>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</si>
  <si>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</si>
  <si>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</si>
  <si>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</si>
  <si>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</si>
  <si>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</si>
  <si>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</si>
  <si>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</si>
  <si>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</si>
  <si>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</si>
  <si>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</si>
  <si>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</si>
  <si>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</si>
  <si>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</si>
  <si>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</si>
  <si>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</si>
  <si>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</si>
  <si>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</si>
  <si>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</si>
  <si>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</si>
  <si>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</si>
  <si>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</si>
  <si>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</si>
  <si>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</si>
  <si>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</si>
  <si>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</si>
  <si>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</si>
  <si>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</si>
  <si>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</si>
  <si>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</si>
  <si>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</si>
  <si>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</si>
  <si>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</si>
  <si>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</si>
  <si>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</si>
  <si>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</si>
  <si>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</si>
  <si>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</si>
  <si>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</si>
  <si>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</si>
  <si>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</si>
  <si>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</si>
  <si>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</si>
  <si>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</si>
  <si>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</si>
  <si>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</si>
  <si>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</si>
  <si>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</si>
  <si>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</si>
  <si>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</si>
  <si>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</si>
  <si>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</si>
  <si>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</si>
  <si>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</si>
  <si>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</si>
  <si>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</si>
  <si>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</si>
  <si>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</si>
  <si>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</si>
  <si>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</si>
  <si>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</si>
  <si>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</si>
  <si>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</si>
  <si>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</si>
  <si>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</si>
  <si>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</si>
  <si>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</si>
  <si>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</si>
  <si>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</si>
  <si>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</si>
  <si>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</si>
  <si>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Pending, separate PR</t>
  </si>
  <si>
    <t>Pending: the same tests re-run unchanged after the fix</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</si>
  <si>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</si>
  <si>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</si>
  <si>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</si>
  <si>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</si>
  <si>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</si>
  <si>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</si>
  <si>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</si>
  <si>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</si>
  <si>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</si>
  <si>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</si>
  <si>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</si>
  <si>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</si>
  <si>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</si>
  <si>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</si>
  <si>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</si>
  <si>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</si>
  <si>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</si>
  <si>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</si>
  <si>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</si>
  <si>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</si>
  <si>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</si>
  <si>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</si>
  <si>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Pending: the same tests re-run unchanged after the fix (wrongRoleTransition.integration.test.js)</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</si>
  <si>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</si>
  <si>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</si>
  <si>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</si>
  <si>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</si>
  <si>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</si>
  <si>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</si>
  <si>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</si>
  <si>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</si>
  <si>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</si>
  <si>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</si>
  <si>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</si>
  <si>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</si>
  <si>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</si>
  <si>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</si>
  <si>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</si>
  <si>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</si>
  <si>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</si>
  <si>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</si>
  <si>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</si>
  <si>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</si>
  <si>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</si>
  <si>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</si>
  <si>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</si>
  <si>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</si>
  <si>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</si>
  <si>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</si>
  <si>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</si>
  <si>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</si>
  <si>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</si>
  <si>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</si>
  <si>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</si>
  <si>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</si>
  <si>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</si>
  <si>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</si>
  <si>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</si>
  <si>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</si>
  <si>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</si>
  <si>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</si>
  <si>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</si>
  <si>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</si>
  <si>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</si>
  <si>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0.5 (15/10/2026). Adds DEF-019 (two test titles cite the wrong requirement), raised by E. Lindsay. DEF-006, DEF-014, DEF-015 and DEF-017 updated with the test-cluster index provisioning and duplicate-refusal results (PR #98, PR #102); their status is unchanged (Open) and staging is pending, updated by E. Lindsay. DEF-001 to DEF-005, DEF-007 to DEF-013, DEF-016 and DEF-018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</si>
  <si>
    <t>The test cluster database is not dropped per run, contradicting DEC-003's test-environment row and our own smoke script docstring. Update v0.5: the test cluster's civicconnect database was dropped once, by R. van der Merwe through the Atlas UI at 15:55 UTC on 14/10/2026, before the index provisioning runs (docs/evidence/M3-indexes/index_provisioning_test_run1.txt, note of 15/10/2026). A one-off drop, not a per-run drop: the defect is unchanged. Runs since then have added synthetic data again (the L2 to L4 checks on 14/10/2026; the E2E run at v3.0-M3-rc on 15/10/2026).</t>
  </si>
  <si>
    <t>Test cluster: fixed by TD-004's provisioning step (scripts/atlas/provision-indexes.js, PR #98; DEC-003 v0.3 deployment step 5). Runs 1 and 2 on 14/10/2026 created and confirmed actorId_1_idempotencyKey_1 (unique, partial: string keys only). Staging: pending; the step runs before the first staging deploy (DEC-003 v0.4).</t>
  </si>
  <si>
    <t>PR #98 (script and tests); PR #102 (test-cluster runs 1 and 2, and the L2 to L4 checks)</t>
  </si>
  <si>
    <t>Test cluster: L2, a duplicate (actorId, idempotencyKey) refused by the database with 11000 naming actorId_1_idempotencyKey_1, and L2c, the partial-filter control (docs/evidence/M3-indexes/index_duplicate_refusal_test_2026-10-14.txt). Before: the duplicate accepted (docs/evidence/M3_API_Negative_Verification.txt) and the index absent (docs/evidence/M3-indexes/index_check_L1_test_2026-10-13.txt). Staging: pending.</t>
  </si>
  <si>
    <t>Open. S2: release only with the limitation recorded, unless fixed first. Residual: on the test cluster the index now exists and refuses a duplicate key. On staging it is pending until the staging provisioning run is recorded; production is unverified. Not shown: a real concurrent race, or how the API reports an 11000 error.</t>
  </si>
  <si>
    <t>Test cluster: fixed by TD-004's provisioning step (scripts/atlas/provision-indexes.js, PR #98; DEC-003 v0.3 deployment step 5). Runs 1 and 2 on 14/10/2026 created and confirmed requestId_1_requestVersion_1 (unique). Staging: pending; the step runs before the first staging deploy (DEC-003 v0.4).</t>
  </si>
  <si>
    <t>Test cluster: L3, a duplicate (requestId, requestVersion) refused by the database with 11000 naming requestId_1_requestVersion_1 (docs/evidence/M3-indexes/index_duplicate_refusal_test_2026-10-14.txt). Before: the duplicate accepted (docs/evidence/M3_API_Negative_Verification.txt) and the index absent (docs/evidence/M3-indexes/index_check_L1_test_2026-10-13.txt). Staging: pending.</t>
  </si>
  <si>
    <t>Open. S2: release only with the limitation recorded, unless fixed first. Residual: on the test cluster the index now exists and refuses a second entry for the same version. On staging it is pending until the staging provisioning run is recorded; production is unverified. Not shown: two transitions actually racing.</t>
  </si>
  <si>
    <t>Test cluster: fixed by TD-004's provisioning step (scripts/atlas/provision-indexes.js, PR #98; DEC-003 v0.3 deployment step 5). Runs 1 and 2 on 14/10/2026 created and confirmed email_1 (unique). Staging: pending; the step runs before the first staging deploy (DEC-003 v0.4). Still to decide with the staging fix: whether scripts/admin/create-user.js should also check for an existing email before inserting.</t>
  </si>
  <si>
    <t>Test cluster: L4, a second user with the same email refused by the database with 11000 naming email_1 (docs/evidence/M3-indexes/index_duplicate_refusal_test_2026-10-14.txt). L4 inserts through the User model, which lowercases and trims email, so it shows an identical stored email is refused, not what happens to a write that bypasses the model. Before: email_1 absent (docs/evidence/M3-indexes/index_check_L1_test_2026-10-13.txt). Staging: pending.</t>
  </si>
  <si>
    <t>Open. S2: release only with the limitation recorded, unless fixed first. Residual: on the test cluster the database now refuses a duplicate email. On staging it is pending until the staging provisioning run is recorded; production is unverified.</t>
  </si>
  <si>
    <t>DEF-019</t>
  </si>
  <si>
    <t>Ethan, while writing the M3 test evidence records</t>
  </si>
  <si>
    <t>Two test titles cite a requirement that does not say what the test checks. (1) tests/requestStatus.test.js, "an Administrator holds no lifecycle authority — FR-6.7 names them explicitly": FR-6.7 forbids altering or deleting a recorded history entry; that the Administrator holds no transition role is a team judgement drawn from it (the src/domain/requestStatus.js header), part of OI-15. (2) tests/statusTransitionService.test.js, "the entry records the acting user, both statuses and the version it produced — AC-FR-6.7": the content of a history entry is AC-FR-6.3; AC-FR-6.7 is immutability. The assertions are correct; only the citations are wrong. Recorded in docs/quality/M3_Test_Evidence_Records_v0.1.md §5.</t>
  </si>
  <si>
    <t>tests/requestStatus.test.js, tests/statusTransitionService.test.js; FR-6.7, AC-FR-6.3, AC-FR-6.7; the RTM verification cells that cite these tests; OI-15</t>
  </si>
  <si>
    <t>Code and record disagree: a reader tracing FR-6.7 or AC-FR-6.3 through the tests is pointed at the wrong evidence, and the Administrator rule reads as baselined when it is a proposal (OI-15). The same kind of error as in M2, where tests cited the right IDs while asserting wrong values, although here the values are right. No behaviour is wrong.</t>
  </si>
  <si>
    <t>Correct both titles after M3 (tests are frozen at v3.0-M3-rc): the first to cite OI-15 rather than FR-6.7, the second to cite AC-FR-6.3. RTM v0.10 cites the correct requirement for these tests now, and notes the titles.</t>
  </si>
  <si>
    <t>Pending: the corrected titles, and the RTM verification cells checked against them.</t>
  </si>
  <si>
    <t>Not release-blocking (S3). Residual: two test titles carry wrong citations until corrected; the RTM records the correct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</si>
</sst>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
      <sz val="8"/>
      <name val="Calibri"/>
      <family val="2"/>
      <scheme val="minor"/>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29"/>
  <sheetViews>
    <sheetView tabSelected="1" zoomScaleNormal="100" workbookViewId="0">
      <pane xSplit="2" ySplit="10" topLeftCell="H24" activePane="bottomRight" state="frozen"/>
      <selection pane="topRight"/>
      <selection pane="bottomLeft"/>
      <selection pane="bottomRight" activeCell="L25" sqref="L25"/>
    </sheetView>
  </sheetViews>
  <sheetFormatPr defaultRowHeight="14.4" x14ac:dyDescent="0.3"/>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s>
  <sheetData>
    <row r="1" spans="2:15" ht="17.7" customHeight="1" x14ac:dyDescent="0.3">
      <c r="B1" s="1" t="s">
        <v>0</v>
      </c>
    </row>
    <row r="2" spans="2:15" x14ac:dyDescent="0.3">
      <c r="B2" t="s">
        <v>144</v>
      </c>
    </row>
    <row r="3" spans="2:15" x14ac:dyDescent="0.3">
      <c r="B3" t="s">
        <v>1</v>
      </c>
    </row>
    <row r="4" spans="2:15" x14ac:dyDescent="0.3">
      <c r="B4" t="s">
        <v>2</v>
      </c>
    </row>
    <row r="5" spans="2:15" x14ac:dyDescent="0.3">
      <c r="B5" t="s">
        <v>3</v>
      </c>
    </row>
    <row r="6" spans="2:15" x14ac:dyDescent="0.3">
      <c r="B6" t="s">
        <v>4</v>
      </c>
    </row>
    <row r="7" spans="2:15" x14ac:dyDescent="0.3">
      <c r="B7" t="s">
        <v>5</v>
      </c>
    </row>
    <row r="8" spans="2:15" x14ac:dyDescent="0.3">
      <c r="B8" t="s">
        <v>6</v>
      </c>
    </row>
    <row r="10" spans="2:15" ht="26.4" x14ac:dyDescent="0.3">
      <c r="B10" s="2" t="s">
        <v>7</v>
      </c>
      <c r="C10" s="2" t="s">
        <v>8</v>
      </c>
      <c r="D10" s="2" t="s">
        <v>9</v>
      </c>
      <c r="E10" s="2" t="s">
        <v>10</v>
      </c>
      <c r="F10" s="2" t="s">
        <v>11</v>
      </c>
      <c r="G10" s="2" t="s">
        <v>12</v>
      </c>
      <c r="H10" s="2" t="s">
        <v>13</v>
      </c>
      <c r="I10" s="2" t="s">
        <v>14</v>
      </c>
      <c r="J10" s="2" t="s">
        <v>15</v>
      </c>
      <c r="K10" s="2" t="s">
        <v>16</v>
      </c>
      <c r="L10" s="2" t="s">
        <v>17</v>
      </c>
      <c r="M10" s="2" t="s">
        <v>18</v>
      </c>
      <c r="N10" s="2" t="s">
        <v>19</v>
      </c>
      <c r="O10" s="2" t="s">
        <v>20</v>
      </c>
    </row>
    <row r="11" spans="2:15" ht="140.1" customHeight="1" x14ac:dyDescent="0.3">
      <c r="B11" s="3" t="s">
        <v>21</v>
      </c>
      <c r="C11" s="4">
        <f>DATE(2026,10,11)</f>
        <v>46306</v>
      </c>
      <c r="D11" s="5" t="s">
        <v>22</v>
      </c>
      <c r="E11" s="5" t="s">
        <v>23</v>
      </c>
      <c r="F11" s="5" t="s">
        <v>24</v>
      </c>
      <c r="G11" s="5" t="s">
        <v>25</v>
      </c>
      <c r="H11" s="5" t="s">
        <v>26</v>
      </c>
      <c r="I11" s="5" t="s">
        <v>27</v>
      </c>
      <c r="J11" s="5" t="s">
        <v>28</v>
      </c>
      <c r="K11" s="5" t="s">
        <v>29</v>
      </c>
      <c r="L11" s="5" t="s">
        <v>30</v>
      </c>
      <c r="M11" s="5" t="s">
        <v>31</v>
      </c>
      <c r="N11" s="5" t="s">
        <v>32</v>
      </c>
      <c r="O11" s="5" t="s">
        <v>33</v>
      </c>
    </row>
    <row r="12" spans="2:15" ht="140.1" customHeight="1" x14ac:dyDescent="0.3">
      <c r="B12" s="3" t="s">
        <v>34</v>
      </c>
      <c r="C12" s="4">
        <f>DATE(2026,10,11)</f>
        <v>46306</v>
      </c>
      <c r="D12" s="5" t="s">
        <v>35</v>
      </c>
      <c r="E12" s="5" t="s">
        <v>36</v>
      </c>
      <c r="F12" s="5" t="s">
        <v>37</v>
      </c>
      <c r="G12" s="5" t="s">
        <v>25</v>
      </c>
      <c r="H12" s="5" t="s">
        <v>38</v>
      </c>
      <c r="I12" s="5" t="s">
        <v>27</v>
      </c>
      <c r="J12" s="5" t="s">
        <v>28</v>
      </c>
      <c r="K12" s="5" t="s">
        <v>39</v>
      </c>
      <c r="L12" s="5" t="s">
        <v>40</v>
      </c>
      <c r="M12" s="5" t="s">
        <v>41</v>
      </c>
      <c r="N12" s="5" t="s">
        <v>42</v>
      </c>
      <c r="O12" s="5" t="s">
        <v>33</v>
      </c>
    </row>
    <row r="13" spans="2:15" ht="140.1" customHeight="1" x14ac:dyDescent="0.3">
      <c r="B13" s="3" t="s">
        <v>43</v>
      </c>
      <c r="C13" s="4">
        <f>DATE(2026,10,11)</f>
        <v>46306</v>
      </c>
      <c r="D13" s="5" t="s">
        <v>44</v>
      </c>
      <c r="E13" s="5" t="s">
        <v>45</v>
      </c>
      <c r="F13" s="5" t="s">
        <v>46</v>
      </c>
      <c r="G13" s="5" t="s">
        <v>47</v>
      </c>
      <c r="H13" s="5" t="s">
        <v>48</v>
      </c>
      <c r="I13" s="5" t="s">
        <v>27</v>
      </c>
      <c r="J13" s="5" t="s">
        <v>28</v>
      </c>
      <c r="K13" s="5" t="s">
        <v>49</v>
      </c>
      <c r="L13" s="5" t="s">
        <v>50</v>
      </c>
      <c r="M13" s="5" t="s">
        <v>51</v>
      </c>
      <c r="N13" s="5" t="s">
        <v>52</v>
      </c>
      <c r="O13" s="5" t="s">
        <v>33</v>
      </c>
    </row>
    <row r="14" spans="2:15" ht="140.1" customHeight="1" x14ac:dyDescent="0.3">
      <c r="B14" s="3" t="s">
        <v>53</v>
      </c>
      <c r="C14" s="4">
        <f>DATE(2026,10,11)</f>
        <v>46306</v>
      </c>
      <c r="D14" s="5" t="s">
        <v>54</v>
      </c>
      <c r="E14" s="5" t="s">
        <v>55</v>
      </c>
      <c r="F14" s="5" t="s">
        <v>56</v>
      </c>
      <c r="G14" s="5" t="s">
        <v>25</v>
      </c>
      <c r="H14" s="5" t="s">
        <v>57</v>
      </c>
      <c r="I14" s="5" t="s">
        <v>27</v>
      </c>
      <c r="J14" s="5" t="s">
        <v>28</v>
      </c>
      <c r="K14" s="5" t="s">
        <v>58</v>
      </c>
      <c r="L14" s="5" t="s">
        <v>59</v>
      </c>
      <c r="M14" s="5" t="s">
        <v>60</v>
      </c>
      <c r="N14" s="5" t="s">
        <v>42</v>
      </c>
      <c r="O14" s="5" t="s">
        <v>33</v>
      </c>
    </row>
    <row r="15" spans="2:15" ht="140.1" customHeight="1" x14ac:dyDescent="0.3">
      <c r="B15" s="3" t="s">
        <v>61</v>
      </c>
      <c r="C15" s="4">
        <f t="shared" ref="C15:C27" si="0">DATE(2026,10,12)</f>
        <v>46307</v>
      </c>
      <c r="D15" s="5" t="s">
        <v>33</v>
      </c>
      <c r="E15" s="5" t="s">
        <v>62</v>
      </c>
      <c r="F15" s="5" t="s">
        <v>63</v>
      </c>
      <c r="G15" s="5" t="s">
        <v>25</v>
      </c>
      <c r="H15" s="5" t="s">
        <v>64</v>
      </c>
      <c r="I15" s="5" t="s">
        <v>65</v>
      </c>
      <c r="J15" s="5" t="s">
        <v>66</v>
      </c>
      <c r="K15" s="5" t="s">
        <v>67</v>
      </c>
      <c r="L15" s="5" t="s">
        <v>67</v>
      </c>
      <c r="M15" s="5" t="s">
        <v>67</v>
      </c>
      <c r="N15" s="5" t="s">
        <v>68</v>
      </c>
      <c r="O15" s="5" t="s">
        <v>33</v>
      </c>
    </row>
    <row r="16" spans="2:15" ht="140.1" customHeight="1" x14ac:dyDescent="0.3">
      <c r="B16" s="3" t="s">
        <v>69</v>
      </c>
      <c r="C16" s="4">
        <f t="shared" si="0"/>
        <v>46307</v>
      </c>
      <c r="D16" s="5" t="s">
        <v>33</v>
      </c>
      <c r="E16" s="5" t="s">
        <v>145</v>
      </c>
      <c r="F16" s="5" t="s">
        <v>70</v>
      </c>
      <c r="G16" s="5" t="s">
        <v>25</v>
      </c>
      <c r="H16" s="5" t="s">
        <v>71</v>
      </c>
      <c r="I16" s="5" t="s">
        <v>27</v>
      </c>
      <c r="J16" s="5" t="s">
        <v>66</v>
      </c>
      <c r="K16" s="5" t="s">
        <v>67</v>
      </c>
      <c r="L16" s="5" t="s">
        <v>67</v>
      </c>
      <c r="M16" s="5" t="s">
        <v>67</v>
      </c>
      <c r="N16" s="5" t="s">
        <v>72</v>
      </c>
      <c r="O16" s="5" t="s">
        <v>33</v>
      </c>
    </row>
    <row r="17" spans="2:15" ht="140.1" customHeight="1" x14ac:dyDescent="0.3">
      <c r="B17" s="3" t="s">
        <v>73</v>
      </c>
      <c r="C17" s="4">
        <f t="shared" si="0"/>
        <v>46307</v>
      </c>
      <c r="D17" s="5" t="s">
        <v>74</v>
      </c>
      <c r="E17" s="5" t="s">
        <v>75</v>
      </c>
      <c r="F17" s="5" t="s">
        <v>76</v>
      </c>
      <c r="G17" s="5" t="s">
        <v>25</v>
      </c>
      <c r="H17" s="5" t="s">
        <v>77</v>
      </c>
      <c r="I17" s="5" t="s">
        <v>27</v>
      </c>
      <c r="J17" s="5" t="s">
        <v>66</v>
      </c>
      <c r="K17" s="5" t="s">
        <v>78</v>
      </c>
      <c r="L17" s="5" t="s">
        <v>78</v>
      </c>
      <c r="M17" s="5" t="s">
        <v>79</v>
      </c>
      <c r="N17" s="5" t="s">
        <v>80</v>
      </c>
      <c r="O17" s="5" t="s">
        <v>81</v>
      </c>
    </row>
    <row r="18" spans="2:15" ht="140.1" customHeight="1" x14ac:dyDescent="0.3">
      <c r="B18" s="3" t="s">
        <v>82</v>
      </c>
      <c r="C18" s="4">
        <f t="shared" si="0"/>
        <v>46307</v>
      </c>
      <c r="D18" s="5" t="s">
        <v>74</v>
      </c>
      <c r="E18" s="5" t="s">
        <v>83</v>
      </c>
      <c r="F18" s="5" t="s">
        <v>84</v>
      </c>
      <c r="G18" s="5" t="s">
        <v>25</v>
      </c>
      <c r="H18" s="5" t="s">
        <v>85</v>
      </c>
      <c r="I18" s="5" t="s">
        <v>27</v>
      </c>
      <c r="J18" s="5" t="s">
        <v>66</v>
      </c>
      <c r="K18" s="5" t="s">
        <v>78</v>
      </c>
      <c r="L18" s="5" t="s">
        <v>78</v>
      </c>
      <c r="M18" s="5" t="s">
        <v>79</v>
      </c>
      <c r="N18" s="5" t="s">
        <v>86</v>
      </c>
      <c r="O18" s="5" t="s">
        <v>81</v>
      </c>
    </row>
    <row r="19" spans="2:15" ht="140.1" customHeight="1" x14ac:dyDescent="0.3">
      <c r="B19" s="3" t="s">
        <v>87</v>
      </c>
      <c r="C19" s="4">
        <f t="shared" si="0"/>
        <v>46307</v>
      </c>
      <c r="D19" s="5" t="s">
        <v>74</v>
      </c>
      <c r="E19" s="5" t="s">
        <v>88</v>
      </c>
      <c r="F19" s="5" t="s">
        <v>89</v>
      </c>
      <c r="G19" s="5" t="s">
        <v>90</v>
      </c>
      <c r="H19" s="5" t="s">
        <v>91</v>
      </c>
      <c r="I19" s="5" t="s">
        <v>27</v>
      </c>
      <c r="J19" s="5" t="s">
        <v>66</v>
      </c>
      <c r="K19" s="5" t="s">
        <v>78</v>
      </c>
      <c r="L19" s="5" t="s">
        <v>78</v>
      </c>
      <c r="M19" s="5" t="s">
        <v>79</v>
      </c>
      <c r="N19" s="5" t="s">
        <v>92</v>
      </c>
      <c r="O19" s="5" t="s">
        <v>81</v>
      </c>
    </row>
    <row r="20" spans="2:15" ht="140.1" customHeight="1" x14ac:dyDescent="0.3">
      <c r="B20" s="3" t="s">
        <v>93</v>
      </c>
      <c r="C20" s="4">
        <f t="shared" si="0"/>
        <v>46307</v>
      </c>
      <c r="D20" s="5" t="s">
        <v>74</v>
      </c>
      <c r="E20" s="5" t="s">
        <v>94</v>
      </c>
      <c r="F20" s="5" t="s">
        <v>95</v>
      </c>
      <c r="G20" s="5" t="s">
        <v>25</v>
      </c>
      <c r="H20" s="5" t="s">
        <v>96</v>
      </c>
      <c r="I20" s="5" t="s">
        <v>27</v>
      </c>
      <c r="J20" s="5" t="s">
        <v>66</v>
      </c>
      <c r="K20" s="5" t="s">
        <v>78</v>
      </c>
      <c r="L20" s="5" t="s">
        <v>78</v>
      </c>
      <c r="M20" s="5" t="s">
        <v>79</v>
      </c>
      <c r="N20" s="5" t="s">
        <v>97</v>
      </c>
      <c r="O20" s="5" t="s">
        <v>81</v>
      </c>
    </row>
    <row r="21" spans="2:15" ht="140.1" customHeight="1" x14ac:dyDescent="0.3">
      <c r="B21" s="3" t="s">
        <v>98</v>
      </c>
      <c r="C21" s="4">
        <f t="shared" si="0"/>
        <v>46307</v>
      </c>
      <c r="D21" s="5" t="s">
        <v>33</v>
      </c>
      <c r="E21" s="5" t="s">
        <v>99</v>
      </c>
      <c r="F21" s="5" t="s">
        <v>100</v>
      </c>
      <c r="G21" s="5" t="s">
        <v>25</v>
      </c>
      <c r="H21" s="5" t="s">
        <v>101</v>
      </c>
      <c r="I21" s="5" t="s">
        <v>27</v>
      </c>
      <c r="J21" s="5" t="s">
        <v>66</v>
      </c>
      <c r="K21" s="5" t="s">
        <v>67</v>
      </c>
      <c r="L21" s="5" t="s">
        <v>67</v>
      </c>
      <c r="M21" s="5" t="s">
        <v>102</v>
      </c>
      <c r="N21" s="5" t="s">
        <v>103</v>
      </c>
      <c r="O21" s="5" t="s">
        <v>33</v>
      </c>
    </row>
    <row r="22" spans="2:15" ht="140.1" customHeight="1" x14ac:dyDescent="0.3">
      <c r="B22" s="3" t="s">
        <v>104</v>
      </c>
      <c r="C22" s="4">
        <f t="shared" si="0"/>
        <v>46307</v>
      </c>
      <c r="D22" s="5" t="s">
        <v>33</v>
      </c>
      <c r="E22" s="5" t="s">
        <v>105</v>
      </c>
      <c r="F22" s="5" t="s">
        <v>106</v>
      </c>
      <c r="G22" s="5" t="s">
        <v>25</v>
      </c>
      <c r="H22" s="5" t="s">
        <v>107</v>
      </c>
      <c r="I22" s="5" t="s">
        <v>27</v>
      </c>
      <c r="J22" s="5" t="s">
        <v>66</v>
      </c>
      <c r="K22" s="5" t="s">
        <v>67</v>
      </c>
      <c r="L22" s="5" t="s">
        <v>67</v>
      </c>
      <c r="M22" s="5" t="s">
        <v>67</v>
      </c>
      <c r="N22" s="5" t="s">
        <v>108</v>
      </c>
      <c r="O22" s="5" t="s">
        <v>33</v>
      </c>
    </row>
    <row r="23" spans="2:15" ht="140.1" customHeight="1" x14ac:dyDescent="0.3">
      <c r="B23" s="3" t="s">
        <v>109</v>
      </c>
      <c r="C23" s="4">
        <f t="shared" si="0"/>
        <v>46307</v>
      </c>
      <c r="D23" s="5" t="s">
        <v>33</v>
      </c>
      <c r="E23" s="5" t="s">
        <v>110</v>
      </c>
      <c r="F23" s="5" t="s">
        <v>111</v>
      </c>
      <c r="G23" s="5" t="s">
        <v>25</v>
      </c>
      <c r="H23" s="5" t="s">
        <v>112</v>
      </c>
      <c r="I23" s="5" t="s">
        <v>113</v>
      </c>
      <c r="J23" s="5" t="s">
        <v>66</v>
      </c>
      <c r="K23" s="5" t="s">
        <v>67</v>
      </c>
      <c r="L23" s="5" t="s">
        <v>67</v>
      </c>
      <c r="M23" s="5" t="s">
        <v>114</v>
      </c>
      <c r="N23" s="5" t="s">
        <v>115</v>
      </c>
      <c r="O23" s="5" t="s">
        <v>33</v>
      </c>
    </row>
    <row r="24" spans="2:15" ht="140.1" customHeight="1" x14ac:dyDescent="0.3">
      <c r="B24" s="3" t="s">
        <v>116</v>
      </c>
      <c r="C24" s="4">
        <f t="shared" si="0"/>
        <v>46307</v>
      </c>
      <c r="D24" s="5" t="s">
        <v>117</v>
      </c>
      <c r="E24" s="5" t="s">
        <v>118</v>
      </c>
      <c r="F24" s="5" t="s">
        <v>119</v>
      </c>
      <c r="G24" s="5" t="s">
        <v>90</v>
      </c>
      <c r="H24" s="5" t="s">
        <v>120</v>
      </c>
      <c r="I24" s="5" t="s">
        <v>27</v>
      </c>
      <c r="J24" s="5" t="s">
        <v>66</v>
      </c>
      <c r="K24" s="5" t="s">
        <v>146</v>
      </c>
      <c r="L24" s="5" t="s">
        <v>147</v>
      </c>
      <c r="M24" s="5" t="s">
        <v>148</v>
      </c>
      <c r="N24" s="5" t="s">
        <v>149</v>
      </c>
      <c r="O24" s="5" t="s">
        <v>33</v>
      </c>
    </row>
    <row r="25" spans="2:15" ht="140.1" customHeight="1" x14ac:dyDescent="0.3">
      <c r="B25" s="3" t="s">
        <v>121</v>
      </c>
      <c r="C25" s="4">
        <f t="shared" si="0"/>
        <v>46307</v>
      </c>
      <c r="D25" s="5" t="s">
        <v>122</v>
      </c>
      <c r="E25" s="5" t="s">
        <v>123</v>
      </c>
      <c r="F25" s="5" t="s">
        <v>124</v>
      </c>
      <c r="G25" s="5" t="s">
        <v>90</v>
      </c>
      <c r="H25" s="5" t="s">
        <v>125</v>
      </c>
      <c r="I25" s="5" t="s">
        <v>27</v>
      </c>
      <c r="J25" s="5" t="s">
        <v>66</v>
      </c>
      <c r="K25" s="5" t="s">
        <v>150</v>
      </c>
      <c r="L25" s="5" t="s">
        <v>147</v>
      </c>
      <c r="M25" s="5" t="s">
        <v>151</v>
      </c>
      <c r="N25" s="5" t="s">
        <v>152</v>
      </c>
      <c r="O25" s="5" t="s">
        <v>33</v>
      </c>
    </row>
    <row r="26" spans="2:15" ht="140.1" customHeight="1" x14ac:dyDescent="0.3">
      <c r="B26" s="3" t="s">
        <v>126</v>
      </c>
      <c r="C26" s="4">
        <f t="shared" si="0"/>
        <v>46307</v>
      </c>
      <c r="D26" s="5" t="s">
        <v>33</v>
      </c>
      <c r="E26" s="5" t="s">
        <v>127</v>
      </c>
      <c r="F26" s="5" t="s">
        <v>128</v>
      </c>
      <c r="G26" s="5" t="s">
        <v>25</v>
      </c>
      <c r="H26" s="5" t="s">
        <v>129</v>
      </c>
      <c r="I26" s="5" t="s">
        <v>27</v>
      </c>
      <c r="J26" s="5" t="s">
        <v>66</v>
      </c>
      <c r="K26" s="5" t="s">
        <v>130</v>
      </c>
      <c r="L26" s="5" t="s">
        <v>67</v>
      </c>
      <c r="M26" s="5" t="s">
        <v>131</v>
      </c>
      <c r="N26" s="5" t="s">
        <v>132</v>
      </c>
      <c r="O26" s="5" t="s">
        <v>33</v>
      </c>
    </row>
    <row r="27" spans="2:15" ht="174" customHeight="1" x14ac:dyDescent="0.3">
      <c r="B27" s="3" t="s">
        <v>133</v>
      </c>
      <c r="C27" s="4">
        <f t="shared" si="0"/>
        <v>46307</v>
      </c>
      <c r="D27" s="5" t="s">
        <v>33</v>
      </c>
      <c r="E27" s="6" t="s">
        <v>134</v>
      </c>
      <c r="F27" s="6" t="s">
        <v>135</v>
      </c>
      <c r="G27" s="6" t="s">
        <v>90</v>
      </c>
      <c r="H27" s="6" t="s">
        <v>136</v>
      </c>
      <c r="I27" s="6" t="s">
        <v>27</v>
      </c>
      <c r="J27" s="6" t="s">
        <v>66</v>
      </c>
      <c r="K27" s="6" t="s">
        <v>153</v>
      </c>
      <c r="L27" s="6" t="s">
        <v>147</v>
      </c>
      <c r="M27" s="6" t="s">
        <v>154</v>
      </c>
      <c r="N27" s="6" t="s">
        <v>155</v>
      </c>
      <c r="O27" s="6" t="s">
        <v>33</v>
      </c>
    </row>
    <row r="28" spans="2:15" ht="174" customHeight="1" x14ac:dyDescent="0.3">
      <c r="B28" s="3" t="s">
        <v>137</v>
      </c>
      <c r="C28" s="4">
        <f>DATE(2026,10,14)</f>
        <v>46309</v>
      </c>
      <c r="D28" s="5" t="s">
        <v>138</v>
      </c>
      <c r="E28" s="6" t="s">
        <v>139</v>
      </c>
      <c r="F28" s="6" t="s">
        <v>140</v>
      </c>
      <c r="G28" s="6" t="s">
        <v>25</v>
      </c>
      <c r="H28" s="6" t="s">
        <v>141</v>
      </c>
      <c r="I28" s="6" t="s">
        <v>27</v>
      </c>
      <c r="J28" s="6" t="s">
        <v>66</v>
      </c>
      <c r="K28" s="6" t="s">
        <v>142</v>
      </c>
      <c r="L28" s="6" t="s">
        <v>67</v>
      </c>
      <c r="M28" s="6" t="s">
        <v>67</v>
      </c>
      <c r="N28" s="6" t="s">
        <v>143</v>
      </c>
      <c r="O28" s="6" t="s">
        <v>33</v>
      </c>
    </row>
    <row r="29" spans="2:15" ht="174" customHeight="1" x14ac:dyDescent="0.3">
      <c r="B29" s="3" t="s">
        <v>156</v>
      </c>
      <c r="C29" s="4">
        <f>DATE(2026,10,15)</f>
        <v>46310</v>
      </c>
      <c r="D29" s="5" t="s">
        <v>157</v>
      </c>
      <c r="E29" s="6" t="s">
        <v>158</v>
      </c>
      <c r="F29" s="6" t="s">
        <v>159</v>
      </c>
      <c r="G29" s="6" t="s">
        <v>25</v>
      </c>
      <c r="H29" s="6" t="s">
        <v>160</v>
      </c>
      <c r="I29" s="6" t="s">
        <v>65</v>
      </c>
      <c r="J29" s="6" t="s">
        <v>66</v>
      </c>
      <c r="K29" s="6" t="s">
        <v>161</v>
      </c>
      <c r="L29" s="6" t="s">
        <v>67</v>
      </c>
      <c r="M29" s="6" t="s">
        <v>162</v>
      </c>
      <c r="N29" s="6" t="s">
        <v>163</v>
      </c>
      <c r="O29" s="6" t="s">
        <v>33</v>
      </c>
    </row>
  </sheetData>
  <autoFilter ref="B10:O29" xr:uid="{00000000-0001-0000-0000-000000000000}"/>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ethan lindsay</cp:lastModifiedBy>
  <dcterms:created xsi:type="dcterms:W3CDTF">2026-10-11T15:42:55Z</dcterms:created>
  <dcterms:modified xsi:type="dcterms:W3CDTF">2026-10-15T18:08:29Z</dcterms:modified>
</cp:coreProperties>
</file>