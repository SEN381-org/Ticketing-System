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fect Register" sheetId="1" state="visible" r:id="rId1"/>
  </sheets>
  <definedNames>
    <definedName name="_xlnm._FilterDatabase" localSheetId="0" hidden="1">'Defect Register'!$B$10:$O$26</definedName>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name val="Arial"/>
      <family val="2"/>
      <b val="1"/>
      <color rgb="FF1F3864"/>
      <sz val="14"/>
    </font>
    <font>
      <name val="Arial"/>
      <family val="2"/>
      <b val="1"/>
      <color rgb="FFFFFFFF"/>
      <sz val="10"/>
    </font>
    <font>
      <name val="Arial"/>
      <family val="2"/>
      <b val="1"/>
      <color rgb="FF000000"/>
      <sz val="10"/>
    </font>
    <font>
      <name val="Arial"/>
      <family val="2"/>
      <color rgb="FF000000"/>
      <sz val="10"/>
    </font>
  </fonts>
  <fills count="4">
    <fill>
      <patternFill/>
    </fill>
    <fill>
      <patternFill patternType="gray125"/>
    </fill>
    <fill>
      <patternFill patternType="solid">
        <fgColor rgb="FF2F5597"/>
        <bgColor indexed="64"/>
      </patternFill>
    </fill>
    <fill>
      <patternFill patternType="solid">
        <fgColor rgb="FFFFFFFF"/>
        <bgColor indexed="64"/>
      </patternFill>
    </fill>
  </fills>
  <borders count="5">
    <border>
      <left/>
      <right/>
      <top/>
      <bottom/>
      <diagonal/>
    </border>
    <border>
      <left/>
      <right/>
      <top/>
      <bottom style="medium">
        <color rgb="FF2F5597"/>
      </bottom>
      <diagonal/>
    </border>
    <border>
      <left style="medium">
        <color rgb="FF2F5597"/>
      </left>
      <right style="thin">
        <color rgb="FFBFBFBF"/>
      </right>
      <top style="medium">
        <color rgb="FF2F5597"/>
      </top>
      <bottom style="thin">
        <color rgb="FFBFBFBF"/>
      </bottom>
      <diagonal/>
    </border>
    <border>
      <left style="medium">
        <color rgb="FF2F5597"/>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left" vertical="center"/>
    </xf>
    <xf numFmtId="0" fontId="2" fillId="2" borderId="2" applyAlignment="1" pivotButton="0" quotePrefix="0" xfId="0">
      <alignment horizontal="center" vertical="center" wrapText="1"/>
    </xf>
    <xf numFmtId="0" fontId="3" fillId="3" borderId="3" applyAlignment="1" pivotButton="0" quotePrefix="0" xfId="0">
      <alignment horizontal="center" vertical="top" wrapText="1"/>
    </xf>
    <xf numFmtId="164" fontId="4" fillId="3" borderId="4" applyAlignment="1" pivotButton="0" quotePrefix="0" xfId="0">
      <alignment vertical="top" wrapText="1"/>
    </xf>
    <xf numFmtId="0" fontId="4" fillId="3" borderId="4"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O26"/>
  <sheetViews>
    <sheetView workbookViewId="0">
      <pane xSplit="2" ySplit="10" topLeftCell="C11" activePane="bottomRight" state="frozen"/>
      <selection pane="topRight" activeCell="A1" sqref="A1"/>
      <selection pane="bottomLeft" activeCell="A1" sqref="A1"/>
      <selection pane="bottomRight" activeCell="A1" sqref="A1"/>
    </sheetView>
  </sheetViews>
  <sheetFormatPr baseColWidth="8" defaultRowHeight="15"/>
  <cols>
    <col width="10" customWidth="1" min="2" max="2"/>
    <col width="12" customWidth="1" min="3" max="3"/>
    <col width="18" customWidth="1" min="4" max="4"/>
    <col width="48" customWidth="1" min="5" max="5"/>
    <col width="28" customWidth="1" min="6" max="6"/>
    <col width="10" customWidth="1" min="7" max="7"/>
    <col width="40" customWidth="1" min="8" max="8"/>
    <col width="9" customWidth="1" min="9" max="9"/>
    <col width="10" customWidth="1" min="10" max="10"/>
    <col width="44" customWidth="1" min="11" max="11"/>
    <col width="30" customWidth="1" min="12" max="12"/>
    <col width="48" customWidth="1" min="13" max="13"/>
    <col width="40" customWidth="1" min="14" max="14"/>
    <col width="12" customWidth="1" min="15" max="15"/>
  </cols>
  <sheetData>
    <row r="1">
      <c r="B1" s="1" t="inlineStr">
        <is>
          <t>Defect Register</t>
        </is>
      </c>
    </row>
    <row r="2">
      <c r="B2" t="inlineStr">
        <is>
          <t>M3 brief §12: "Maintain a simple defect record: defect -&gt; severity/impact -&gt; status -&gt; fix -&gt; regression evidence where corrected." §15: "Known defects | Open/closed | Business impact | Block or residual risk". Each row has a stable DEF identifier the RTM Defect/Status column can cite. Identifiers are never reused or renumbered; a closed defect stays in the register. | Version 0.2 (12/10/2026). Adds DEF-005 to DEF-016: DEF-007 to DEF-010, DEF-014, and DEF-015 from M3 integration testing (R. van der Merwe); DEF-005, DEF-006, DEF-011 to DEF-013, and DEF-016 raised by E. Lindsay. DEF-001 to DEF-004 unchanged. Version 0.1 (11/10/2026). Register created with DEF-001 to DEF-004.</t>
        </is>
      </c>
    </row>
    <row r="3">
      <c r="B3" t="inlineStr">
        <is>
          <t>Severity and priority scales below are a TEAM PROCESS CONVENTION, not a domain value from the requirements.</t>
        </is>
      </c>
    </row>
    <row r="4">
      <c r="B4" t="inlineStr">
        <is>
          <t>S1 Critical — an acceptance criterion cannot be met, or data lost, corrupted or exposed. Blocks release.</t>
        </is>
      </c>
    </row>
    <row r="5">
      <c r="B5" t="inlineStr">
        <is>
          <t>S2 Major — a requirement only partly met, or a documented control does not hold in some case. Release only with the limitation recorded.</t>
        </is>
      </c>
    </row>
    <row r="6">
      <c r="B6" t="inlineStr">
        <is>
          <t>S3 Minor — incorrect behaviour with a workaround, or code and record disagree.</t>
        </is>
      </c>
    </row>
    <row r="7">
      <c r="B7" t="inlineStr">
        <is>
          <t>S4 Trivial — cosmetic or documentation only.</t>
        </is>
      </c>
    </row>
    <row r="8">
      <c r="B8" t="inlineStr">
        <is>
          <t>P1 before the M3 release candidate · P2 before M4 · P3 backlog.</t>
        </is>
      </c>
    </row>
    <row r="10">
      <c r="B10" s="2" t="inlineStr">
        <is>
          <t>ID</t>
        </is>
      </c>
      <c r="C10" s="2" t="inlineStr">
        <is>
          <t>Date raised</t>
        </is>
      </c>
      <c r="D10" s="2" t="inlineStr">
        <is>
          <t>Found by</t>
        </is>
      </c>
      <c r="E10" s="2" t="inlineStr">
        <is>
          <t>Defect</t>
        </is>
      </c>
      <c r="F10" s="2" t="inlineStr">
        <is>
          <t>Affects (requirement / artefact)</t>
        </is>
      </c>
      <c r="G10" s="2" t="inlineStr">
        <is>
          <t>Severity</t>
        </is>
      </c>
      <c r="H10" s="2" t="inlineStr">
        <is>
          <t>Business impact</t>
        </is>
      </c>
      <c r="I10" s="2" t="inlineStr">
        <is>
          <t>Priority</t>
        </is>
      </c>
      <c r="J10" s="2" t="inlineStr">
        <is>
          <t>Status</t>
        </is>
      </c>
      <c r="K10" s="2" t="inlineStr">
        <is>
          <t>Fix</t>
        </is>
      </c>
      <c r="L10" s="2" t="inlineStr">
        <is>
          <t>Fix reference</t>
        </is>
      </c>
      <c r="M10" s="2" t="inlineStr">
        <is>
          <t>Regression evidence</t>
        </is>
      </c>
      <c r="N10" s="2" t="inlineStr">
        <is>
          <t>Block or residual risk</t>
        </is>
      </c>
      <c r="O10" s="2" t="inlineStr">
        <is>
          <t>Owner</t>
        </is>
      </c>
    </row>
    <row r="11" ht="140" customHeight="1">
      <c r="B11" s="3" t="inlineStr">
        <is>
          <t>DEF-001</t>
        </is>
      </c>
      <c r="C11" s="4">
        <f>DATE(2026,10,11)</f>
        <v/>
      </c>
      <c r="D11" s="5" t="inlineStr">
        <is>
          <t>Review (M3 Phase 0 records)</t>
        </is>
      </c>
      <c r="E11" s="5" t="inlineStr">
        <is>
          <t>Risk Register V0.6: the band conditional formatting covered I3:I17 and the filter covered B2:P15, so RSK-016 to RSK-020 had no band colour and fell outside the filter.</t>
        </is>
      </c>
      <c r="F11" s="5" t="inlineStr">
        <is>
          <t>Risk Register (controlled artefact)</t>
        </is>
      </c>
      <c r="G11" s="5" t="inlineStr">
        <is>
          <t>S3</t>
        </is>
      </c>
      <c r="H11" s="5" t="inlineStr">
        <is>
          <t>High-priority risks RSK-016 and RSK-020 were not visibly banded, and filtering the register silently omitted five risks. A review relying on the filter would miss them.</t>
        </is>
      </c>
      <c r="I11" s="5" t="inlineStr">
        <is>
          <t>P1</t>
        </is>
      </c>
      <c r="J11" s="5" t="inlineStr">
        <is>
          <t>Closed</t>
        </is>
      </c>
      <c r="K11" s="5" t="inlineStr">
        <is>
          <t>Ranges extended to I3:I23 and B2:P23 in Risk Register V0.7, covering every row including RSK-021.</t>
        </is>
      </c>
      <c r="L11" s="5" t="inlineStr">
        <is>
          <t>Commit 6598b58 (Risk Register V0.7)</t>
        </is>
      </c>
      <c r="M11" s="5" t="inlineStr">
        <is>
          <t>Read-back of the V0.7 workbook: formatting range I3:I23, filter B2:P23, zero existing cells changed. No automated regression test exists for workbook formatting.</t>
        </is>
      </c>
      <c r="N11" s="5" t="inlineStr">
        <is>
          <t>Residual: a future row appended beyond row 23 needs the ranges extended again. No release block.</t>
        </is>
      </c>
      <c r="O11" s="5" t="inlineStr">
        <is>
          <t>Ethan</t>
        </is>
      </c>
    </row>
    <row r="12" ht="140" customHeight="1">
      <c r="B12" s="3" t="inlineStr">
        <is>
          <t>DEF-002</t>
        </is>
      </c>
      <c r="C12" s="4">
        <f>DATE(2026,10,11)</f>
        <v/>
      </c>
      <c r="D12" s="5" t="inlineStr">
        <is>
          <t>Review (OpenAPI update)</t>
        </is>
      </c>
      <c r="E12" s="5" t="inlineStr">
        <is>
          <t>docs/api/openapi.yaml did not list INTERNAL_ERROR in Problem.code, although the error handler has always sent it for every unrecognised error.</t>
        </is>
      </c>
      <c r="F12" s="5" t="inlineStr">
        <is>
          <t>DEC-015, docs/api/openapi.yaml, src/middleware/errorHandler.js</t>
        </is>
      </c>
      <c r="G12" s="5" t="inlineStr">
        <is>
          <t>S3</t>
        </is>
      </c>
      <c r="H12" s="5" t="inlineStr">
        <is>
          <t>A client generated from the contract would treat the 500 problem's code as undocumented. The contract understated what the API returns.</t>
        </is>
      </c>
      <c r="I12" s="5" t="inlineStr">
        <is>
          <t>P1</t>
        </is>
      </c>
      <c r="J12" s="5" t="inlineStr">
        <is>
          <t>Closed</t>
        </is>
      </c>
      <c r="K12" s="5" t="inlineStr">
        <is>
          <t>INTERNAL_ERROR added to Problem.code with the three new Phase 0 codes. A contract test now derives the code set from src/errors.js and the error handler at run time and requires it to equal the documented set.</t>
        </is>
      </c>
      <c r="L12" s="5" t="inlineStr">
        <is>
          <t>Commit 70d1825 (fix); commit 4921f4c (regression test)</t>
        </is>
      </c>
      <c r="M12" s="5" t="inlineStr">
        <is>
          <t>tests/openapiContract.test.js. Negative verification NV-25 (removing INTERNAL_ERROR fails the test) and NV-26 (adding an undocumented error type fails the test), docs/evidence/M3-P0/.</t>
        </is>
      </c>
      <c r="N12" s="5" t="inlineStr">
        <is>
          <t>None. No release block.</t>
        </is>
      </c>
      <c r="O12" s="5" t="inlineStr">
        <is>
          <t>Ethan</t>
        </is>
      </c>
    </row>
    <row r="13" ht="140" customHeight="1">
      <c r="B13" s="3" t="inlineStr">
        <is>
          <t>DEF-003</t>
        </is>
      </c>
      <c r="C13" s="4">
        <f>DATE(2026,10,11)</f>
        <v/>
      </c>
      <c r="D13" s="5" t="inlineStr">
        <is>
          <t>Self-review before first commit</t>
        </is>
      </c>
      <c r="E13" s="5" t="inlineStr">
        <is>
          <t>Near miss: tests/config.test.js held a literal credential-shaped MongoDB URI (fake value) that the CI secret scan could flag. Caught before it was committed.</t>
        </is>
      </c>
      <c r="F13" s="5" t="inlineStr">
        <is>
          <t>NFR-3.5, CI secret-scan job</t>
        </is>
      </c>
      <c r="G13" s="5" t="inlineStr">
        <is>
          <t>S4</t>
        </is>
      </c>
      <c r="H13" s="5" t="inlineStr">
        <is>
          <t>None realised. Had it been committed, a secret-scan failure would have blocked merging, and the string would sit permanently in history (NFR-3.5 is assessed across the full history).</t>
        </is>
      </c>
      <c r="I13" s="5" t="inlineStr">
        <is>
          <t>P1</t>
        </is>
      </c>
      <c r="J13" s="5" t="inlineStr">
        <is>
          <t>Closed</t>
        </is>
      </c>
      <c r="K13" s="5" t="inlineStr">
        <is>
          <t>The fake credential is assembled at run time from parts, so no credential-shaped literal exists in the file.</t>
        </is>
      </c>
      <c r="L13" s="5" t="inlineStr">
        <is>
          <t>Commit 70d1825 (the literal was replaced before that first commit)</t>
        </is>
      </c>
      <c r="M13" s="5" t="inlineStr">
        <is>
          <t>git log --all -S on the literal returns no commit on any ref (checked 11/10/2026). Gitleaks full-history secret scan passed on the code PR #83 at commit bc867f3 (GitHub Actions run 38152562066, job "Secret scan (full history)", 11/10/2026).</t>
        </is>
      </c>
      <c r="N13" s="5" t="inlineStr">
        <is>
          <t>None. No history exposure.</t>
        </is>
      </c>
      <c r="O13" s="5" t="inlineStr">
        <is>
          <t>Ethan</t>
        </is>
      </c>
    </row>
    <row r="14" ht="140" customHeight="1">
      <c r="B14" s="3" t="inlineStr">
        <is>
          <t>DEF-004</t>
        </is>
      </c>
      <c r="C14" s="4">
        <f>DATE(2026,10,11)</f>
        <v/>
      </c>
      <c r="D14" s="5" t="inlineStr">
        <is>
          <t>Review before the first smoke run</t>
        </is>
      </c>
      <c r="E14" s="5" t="inlineStr">
        <is>
          <t>The smoke check's usage comment and the README directed the reader to --base-url http://localhost:&lt;port&gt;, while the server binds IPv4 loopback only (127.0.0.1, DEC-003). On Windows, Node can resolve localhost to ::1 first, so the smoke run could fail to connect.</t>
        </is>
      </c>
      <c r="F14" s="5" t="inlineStr">
        <is>
          <t>DEC-018 evidence item 2 (smoke check), scripts/smoke/phase0-smoke.js, README.md</t>
        </is>
      </c>
      <c r="G14" s="5" t="inlineStr">
        <is>
          <t>S3</t>
        </is>
      </c>
      <c r="H14" s="5" t="inlineStr">
        <is>
          <t>A connection failure in the smoke run would read as a fault in the application, so the reachability evidence could be wrongly reported as failed, or time spent chasing a non-existent defect.</t>
        </is>
      </c>
      <c r="I14" s="5" t="inlineStr">
        <is>
          <t>P1</t>
        </is>
      </c>
      <c r="J14" s="5" t="inlineStr">
        <is>
          <t>Closed</t>
        </is>
      </c>
      <c r="K14" s="5" t="inlineStr">
        <is>
          <t>Both smoke-check references changed to http://127.0.0.1:&lt;port&gt;. The browser guidance (README, session.js, DEC-018) is deliberately unchanged: a browser falls back from ::1 to 127.0.0.1 itself, and localhost is what makes the Secure __Host-sid cookie work over plain HTTP.</t>
        </is>
      </c>
      <c r="L14" s="5" t="inlineStr">
        <is>
          <t>Commit c1514d0 (PR #83)</t>
        </is>
      </c>
      <c r="M14" s="5" t="inlineStr">
        <is>
          <t>The corrected text in scripts/smoke/phase0-smoke.js and README.md (commit c1514d0), with the reasoning above. No automated test: the defect is in documentation, not behaviour. Not observed failing; found by review before the first run.</t>
        </is>
      </c>
      <c r="N14" s="5" t="inlineStr">
        <is>
          <t>None. No release block.</t>
        </is>
      </c>
      <c r="O14" s="5" t="inlineStr">
        <is>
          <t>Ethan</t>
        </is>
      </c>
    </row>
    <row r="15" ht="140" customHeight="1">
      <c r="B15" s="3" t="inlineStr">
        <is>
          <t>DEF-005</t>
        </is>
      </c>
      <c r="C15" s="4">
        <f>DATE(2026,10,12)</f>
        <v/>
      </c>
      <c r="D15" s="5" t="inlineStr">
        <is>
          <t>Ethan</t>
        </is>
      </c>
      <c r="E15" s="5" t="inlineStr">
        <is>
          <t>DB-01 v0.3's collection table says roles is read by the guard; DEC-003 v0.2's grant list doesn't include it. Two merged baselined documents disagreeing. No code reads roles today so nothing breaks.</t>
        </is>
      </c>
      <c r="F15" s="5" t="inlineStr">
        <is>
          <t>DB-01 v0.3 (collection table), DEC-003 v0.2 (database users grant list)</t>
        </is>
      </c>
      <c r="G15" s="5" t="inlineStr">
        <is>
          <t>S3</t>
        </is>
      </c>
      <c r="H15" s="5" t="inlineStr">
        <is>
          <t>No behavioural effect today, because no code reads the roles collection. The impact is on future work and on the record's credibility: anyone implementing the guard from DB-01 v0.3 would hit an authorisation failure on the cluster, because DEC-003 v0.2 never grants it. Two merged baselined documents disagree, and whichever a developer reads first decides whether their code works.</t>
        </is>
      </c>
      <c r="I15" s="5" t="inlineStr">
        <is>
          <t>P2</t>
        </is>
      </c>
      <c r="J15" s="5" t="inlineStr">
        <is>
          <t>Open</t>
        </is>
      </c>
      <c r="K15" s="5" t="inlineStr">
        <is>
          <t>Pending</t>
        </is>
      </c>
      <c r="L15" s="5" t="inlineStr">
        <is>
          <t>Pending</t>
        </is>
      </c>
      <c r="M15" s="5" t="inlineStr">
        <is>
          <t>Pending</t>
        </is>
      </c>
      <c r="N15" s="5" t="inlineStr">
        <is>
          <t>Not blocking. Residual: the two documents stay in conflict until one is corrected through a controlled change.</t>
        </is>
      </c>
      <c r="O15" s="5" t="inlineStr">
        <is>
          <t>Ethan</t>
        </is>
      </c>
    </row>
    <row r="16" ht="140" customHeight="1">
      <c r="B16" s="3" t="inlineStr">
        <is>
          <t>DEF-006</t>
        </is>
      </c>
      <c r="C16" s="4">
        <f>DATE(2026,10,12)</f>
        <v/>
      </c>
      <c r="D16" s="5" t="inlineStr">
        <is>
          <t>Ethan</t>
        </is>
      </c>
      <c r="E16" s="5" t="inlineStr">
        <is>
          <t>The test cluster database is not dropped per run, contradicting DEC-003's test-environment row and our own smoke script docstring.</t>
        </is>
      </c>
      <c r="F16" s="5" t="inlineStr">
        <is>
          <t>DEC-003 v0.2 (environment map, Test row), scripts/smoke/phase0-smoke.js</t>
        </is>
      </c>
      <c r="G16" s="5" t="inlineStr">
        <is>
          <t>S3</t>
        </is>
      </c>
      <c r="H16" s="5" t="inlineStr">
        <is>
          <t>Synthetic users, requests and history entries accumulate, so runs are not isolated and a later run could pass or fail because of data an earlier one left. The existing evidence is unaffected — SMOKE-01 and the layer-3 verification test reachability and privileges, neither of which depends on an empty database — but the staging demonstration runs the critical journey against a cluster, and that one does.</t>
        </is>
      </c>
      <c r="I16" s="5" t="inlineStr">
        <is>
          <t>P1</t>
        </is>
      </c>
      <c r="J16" s="5" t="inlineStr">
        <is>
          <t>Open</t>
        </is>
      </c>
      <c r="K16" s="5" t="inlineStr">
        <is>
          <t>Pending</t>
        </is>
      </c>
      <c r="L16" s="5" t="inlineStr">
        <is>
          <t>Pending</t>
        </is>
      </c>
      <c r="M16" s="5" t="inlineStr">
        <is>
          <t>Pending</t>
        </is>
      </c>
      <c r="N16" s="5" t="inlineStr">
        <is>
          <t>Not release-blocking. Residual: any future cluster-based evidence carries the caveat that the database was not clean at the start.</t>
        </is>
      </c>
      <c r="O16" s="5" t="inlineStr">
        <is>
          <t>Ethan</t>
        </is>
      </c>
    </row>
    <row r="17" ht="140" customHeight="1">
      <c r="B17" s="3" t="inlineStr">
        <is>
          <t>DEF-007</t>
        </is>
      </c>
      <c r="C17" s="4">
        <f>DATE(2026,10,12)</f>
        <v/>
      </c>
      <c r="D17" s="5" t="inlineStr">
        <is>
          <t>Integration test run (docs/evidence/M3_API_Test_Run.txt, commit 549854d)</t>
        </is>
      </c>
      <c r="E17" s="5" t="inlineStr">
        <is>
          <t>Replay returns 200 with a reduced body and no Idempotent-Replayed header. DEC-015 §3 requires the same status and body as the original plus the header. Predates PR #83; originated in the M2 slice.</t>
        </is>
      </c>
      <c r="F17" s="5" t="inlineStr">
        <is>
          <t>DEC-015 §3, docs/api/openapi.yaml, src/routes/requestRoutes.js:76, src/services/statusTransitionService.js:149-155 (tests/integration/idempotencyKey.integration.test.js case 2b)</t>
        </is>
      </c>
      <c r="G17" s="5" t="inlineStr">
        <is>
          <t>S3</t>
        </is>
      </c>
      <c r="H17" s="5" t="inlineStr">
        <is>
          <t>A client retrying after a timeout cannot treat the retry as the original response and has to handle a second response shape.</t>
        </is>
      </c>
      <c r="I17" s="5" t="inlineStr">
        <is>
          <t>P1</t>
        </is>
      </c>
      <c r="J17" s="5" t="inlineStr">
        <is>
          <t>Open</t>
        </is>
      </c>
      <c r="K17" s="5" t="inlineStr">
        <is>
          <t>Pending, separate PR</t>
        </is>
      </c>
      <c r="L17" s="5" t="inlineStr">
        <is>
          <t>Pending, separate PR</t>
        </is>
      </c>
      <c r="M17" s="5" t="inlineStr">
        <is>
          <t>Pending: the same tests re-run unchanged after the fix</t>
        </is>
      </c>
      <c r="N17" s="5" t="inlineStr">
        <is>
          <t>Open. Not a release block under the scale (S3). No second history entry is written on a replay.</t>
        </is>
      </c>
      <c r="O17" s="5" t="inlineStr">
        <is>
          <t>Ethan (fix), Robert (tests)</t>
        </is>
      </c>
    </row>
    <row r="18" ht="140" customHeight="1">
      <c r="B18" s="3" t="inlineStr">
        <is>
          <t>DEF-008</t>
        </is>
      </c>
      <c r="C18" s="4">
        <f>DATE(2026,10,12)</f>
        <v/>
      </c>
      <c r="D18" s="5" t="inlineStr">
        <is>
          <t>Integration test run (docs/evidence/M3_API_Test_Run.txt, commit 549854d)</t>
        </is>
      </c>
      <c r="E18" s="5" t="inlineStr">
        <is>
          <t>412 body carries no current ETag; only the stale version, in the detail text. DEC-015 §2. Predates PR #83; originated in the M2 slice.</t>
        </is>
      </c>
      <c r="F18" s="5" t="inlineStr">
        <is>
          <t>DEC-015 §2, src/errors.js:56-60, src/repositories/requestRepository.js:43, src/services/statusTransitionService.js:75 (tests/integration/ifMatchConflict.integration.test.js)</t>
        </is>
      </c>
      <c r="G18" s="5" t="inlineStr">
        <is>
          <t>S3</t>
        </is>
      </c>
      <c r="H18" s="5" t="inlineStr">
        <is>
          <t>After a conflict the client must make a second request to learn the current version before it can retry.</t>
        </is>
      </c>
      <c r="I18" s="5" t="inlineStr">
        <is>
          <t>P1</t>
        </is>
      </c>
      <c r="J18" s="5" t="inlineStr">
        <is>
          <t>Open</t>
        </is>
      </c>
      <c r="K18" s="5" t="inlineStr">
        <is>
          <t>Pending, separate PR</t>
        </is>
      </c>
      <c r="L18" s="5" t="inlineStr">
        <is>
          <t>Pending, separate PR</t>
        </is>
      </c>
      <c r="M18" s="5" t="inlineStr">
        <is>
          <t>Pending: the same tests re-run unchanged after the fix</t>
        </is>
      </c>
      <c r="N18" s="5" t="inlineStr">
        <is>
          <t>Open. Not a release block under the scale (S3). The stale write itself is refused and nothing is changed.</t>
        </is>
      </c>
      <c r="O18" s="5" t="inlineStr">
        <is>
          <t>Ethan (fix), Robert (tests)</t>
        </is>
      </c>
    </row>
    <row r="19" ht="140" customHeight="1">
      <c r="B19" s="3" t="inlineStr">
        <is>
          <t>DEF-009</t>
        </is>
      </c>
      <c r="C19" s="4">
        <f>DATE(2026,10,12)</f>
        <v/>
      </c>
      <c r="D19" s="5" t="inlineStr">
        <is>
          <t>Integration test run (docs/evidence/M3_API_Test_Run.txt, commit 549854d)</t>
        </is>
      </c>
      <c r="E19" s="5" t="inlineStr">
        <is>
          <t>Fingerprint omits method and path and is not canonical; a key used on request A is accepted on request B and returns A's result. Predates PR #83; originated in the M2 slice.</t>
        </is>
      </c>
      <c r="F19" s="5" t="inlineStr">
        <is>
          <t>DEC-015 §3, FR-6.7, src/routes/requestRoutes.js:35-36, src/repositories/historyRepository.js:35-36, src/services/statusTransitionService.js:54-57 (tests/integration/idempotencyKey.integration.test.js cases 2d and 2e)</t>
        </is>
      </c>
      <c r="G19" s="5" t="inlineStr">
        <is>
          <t>S2</t>
        </is>
      </c>
      <c r="H19" s="5" t="inlineStr">
        <is>
          <t>A client is told that a transition on request B succeeded when nothing happened to B. The same body with its members in another order is refused as a different payload.</t>
        </is>
      </c>
      <c r="I19" s="5" t="inlineStr">
        <is>
          <t>P1</t>
        </is>
      </c>
      <c r="J19" s="5" t="inlineStr">
        <is>
          <t>Open</t>
        </is>
      </c>
      <c r="K19" s="5" t="inlineStr">
        <is>
          <t>Pending, separate PR</t>
        </is>
      </c>
      <c r="L19" s="5" t="inlineStr">
        <is>
          <t>Pending, separate PR</t>
        </is>
      </c>
      <c r="M19" s="5" t="inlineStr">
        <is>
          <t>Pending: the same tests re-run unchanged after the fix</t>
        </is>
      </c>
      <c r="N19" s="5" t="inlineStr">
        <is>
          <t>Open. S2: release only with the limitation recorded, unless fixed first. Neither request gains a history entry, so no data is written wrongly; the response is false.</t>
        </is>
      </c>
      <c r="O19" s="5" t="inlineStr">
        <is>
          <t>Ethan (fix), Robert (tests)</t>
        </is>
      </c>
    </row>
    <row r="20" ht="140" customHeight="1">
      <c r="B20" s="3" t="inlineStr">
        <is>
          <t>DEF-010</t>
        </is>
      </c>
      <c r="C20" s="4">
        <f>DATE(2026,10,12)</f>
        <v/>
      </c>
      <c r="D20" s="5" t="inlineStr">
        <is>
          <t>Integration test run (docs/evidence/M3_API_Test_Run.txt, commit 549854d)</t>
        </is>
      </c>
      <c r="E20" s="5" t="inlineStr">
        <is>
          <t>Problem type is idempotency-conflict, not idempotency-key-reused. DEC-015 §3. Predates PR #83; originated in the M2 slice.</t>
        </is>
      </c>
      <c r="F20" s="5" t="inlineStr">
        <is>
          <t>DEC-015 §3, docs/api/openapi.yaml, tests/openapiContract.test.js, src/errors.js:113 (tests/integration/idempotencyKey.integration.test.js case 2c)</t>
        </is>
      </c>
      <c r="G20" s="5" t="inlineStr">
        <is>
          <t>S3</t>
        </is>
      </c>
      <c r="H20" s="5" t="inlineStr">
        <is>
          <t>Code and decision record disagree on a name. A client written from DEC-015 would not recognise the problem type. The 422 status is correct.</t>
        </is>
      </c>
      <c r="I20" s="5" t="inlineStr">
        <is>
          <t>P1</t>
        </is>
      </c>
      <c r="J20" s="5" t="inlineStr">
        <is>
          <t>Open</t>
        </is>
      </c>
      <c r="K20" s="5" t="inlineStr">
        <is>
          <t>Pending, separate PR</t>
        </is>
      </c>
      <c r="L20" s="5" t="inlineStr">
        <is>
          <t>Pending, separate PR</t>
        </is>
      </c>
      <c r="M20" s="5" t="inlineStr">
        <is>
          <t>Pending: the same tests re-run unchanged after the fix</t>
        </is>
      </c>
      <c r="N20" s="5" t="inlineStr">
        <is>
          <t>Open. Not a release block under the scale (S3).</t>
        </is>
      </c>
      <c r="O20" s="5" t="inlineStr">
        <is>
          <t>Ethan (fix), Robert (tests)</t>
        </is>
      </c>
    </row>
    <row r="21" ht="140" customHeight="1">
      <c r="B21" s="3" t="inlineStr">
        <is>
          <t>DEF-011</t>
        </is>
      </c>
      <c r="C21" s="4">
        <f>DATE(2026,10,12)</f>
        <v/>
      </c>
      <c r="D21" s="5" t="inlineStr">
        <is>
          <t>Ethan</t>
        </is>
      </c>
      <c r="E21" s="5" t="inlineStr">
        <is>
          <t>Wrong role on a transition returns 422; DEC-015 says 403. (Origin: src/services/statusTransitionService.js line 88 throws TransitionError for every refused transition, including the role refusal from checkTransition in src/domain/requestStatus.js line 127.)</t>
        </is>
      </c>
      <c r="F21" s="5" t="inlineStr">
        <is>
          <t>DEC-015, src/services/statusTransitionService.js, src/domain/requestStatus.js (checkTransition)</t>
        </is>
      </c>
      <c r="G21" s="5" t="inlineStr">
        <is>
          <t>S3</t>
        </is>
      </c>
      <c r="H21" s="5" t="inlineStr">
        <is>
          <t>A client cannot tell an authorisation refusal from a validation failure, so it cannot show the right message or decide whether retrying is sensible. No user impact today because there is no client, but it is a contract defect against DEC-015 and it will mislead the one we are about to build.</t>
        </is>
      </c>
      <c r="I21" s="5" t="inlineStr">
        <is>
          <t>P1</t>
        </is>
      </c>
      <c r="J21" s="5" t="inlineStr">
        <is>
          <t>Open</t>
        </is>
      </c>
      <c r="K21" s="5" t="inlineStr">
        <is>
          <t>Pending</t>
        </is>
      </c>
      <c r="L21" s="5" t="inlineStr">
        <is>
          <t>Pending</t>
        </is>
      </c>
      <c r="M21" s="5" t="inlineStr">
        <is>
          <t>Pending: the same tests re-run unchanged after the fix (wrongRoleTransition.integration.test.js)</t>
        </is>
      </c>
      <c r="N21" s="5" t="inlineStr">
        <is>
          <t>Not blocking. Fix with DEF-007 to DEF-010 in the same PR, same file, same decision.</t>
        </is>
      </c>
      <c r="O21" s="5" t="inlineStr">
        <is>
          <t>Ethan</t>
        </is>
      </c>
    </row>
    <row r="22" ht="140" customHeight="1">
      <c r="B22" s="3" t="inlineStr">
        <is>
          <t>DEF-012</t>
        </is>
      </c>
      <c r="C22" s="4">
        <f>DATE(2026,10,12)</f>
        <v/>
      </c>
      <c r="D22" s="5" t="inlineStr">
        <is>
          <t>Ethan</t>
        </is>
      </c>
      <c r="E22" s="5" t="inlineStr">
        <is>
          <t>A malformed request id returns 500 rather than 400 — unhandled exception on a bad path parameter.</t>
        </is>
      </c>
      <c r="F22" s="5" t="inlineStr">
        <is>
          <t>API: request id path parameter</t>
        </is>
      </c>
      <c r="G22" s="5" t="inlineStr">
        <is>
          <t>S3</t>
        </is>
      </c>
      <c r="H22" s="5" t="inlineStr">
        <is>
          <t>A client sending a bad id gets an unhandled server error rather than a clear 400, which says the fault is ours when it is theirs, and fills the logs with exceptions that mask real ones.</t>
        </is>
      </c>
      <c r="I22" s="5" t="inlineStr">
        <is>
          <t>P1</t>
        </is>
      </c>
      <c r="J22" s="5" t="inlineStr">
        <is>
          <t>Open</t>
        </is>
      </c>
      <c r="K22" s="5" t="inlineStr">
        <is>
          <t>Pending</t>
        </is>
      </c>
      <c r="L22" s="5" t="inlineStr">
        <is>
          <t>Pending</t>
        </is>
      </c>
      <c r="M22" s="5" t="inlineStr">
        <is>
          <t>Pending</t>
        </is>
      </c>
      <c r="N22" s="5" t="inlineStr">
        <is>
          <t>Not blocking. Trivial fix, same PR.</t>
        </is>
      </c>
      <c r="O22" s="5" t="inlineStr">
        <is>
          <t>Ethan</t>
        </is>
      </c>
    </row>
    <row r="23" ht="140" customHeight="1">
      <c r="B23" s="3" t="inlineStr">
        <is>
          <t>DEF-013</t>
        </is>
      </c>
      <c r="C23" s="4">
        <f>DATE(2026,10,12)</f>
        <v/>
      </c>
      <c r="D23" s="5" t="inlineStr">
        <is>
          <t>Ethan</t>
        </is>
      </c>
      <c r="E23" s="5" t="inlineStr">
        <is>
          <t>tests/app.test.js "login sets __Host-sid with HttpOnly, Secure, SameSite=Lax, Path=/ and no Domain" fails intermittently. Twice in about 175 full-suite runs, not reproduced in 200 isolated runs of that file. It was never re-run until green: both failures are recorded as they happened, in docs/evidence/M3-read-endpoint/INDEX.txt (PR #89).</t>
        </is>
      </c>
      <c r="F23" s="5" t="inlineStr">
        <is>
          <t>tests/app.test.js</t>
        </is>
      </c>
      <c r="G23" s="5" t="inlineStr">
        <is>
          <t>S3</t>
        </is>
      </c>
      <c r="H23" s="5" t="inlineStr">
        <is>
          <t>This is the one that matters. The assertion covers the session cookie's security attributes — HttpOnly, Secure, SameSite=Lax, Path=/ and no Domain. If the intermittency is a real race rather than test flakiness, then a session cookie could occasionally be set without those attributes, which is a genuine security exposure. We do not know which it is. Not reproduced in 200 isolated runs or 100 full-suite runs; both real failures happened while sabotage loops were running, so load is a possible trigger but unconfirmed.</t>
        </is>
      </c>
      <c r="I23" s="5" t="inlineStr">
        <is>
          <t>P1 — not because of the test, but because the uncertainty is about a security control.</t>
        </is>
      </c>
      <c r="J23" s="5" t="inlineStr">
        <is>
          <t>Open</t>
        </is>
      </c>
      <c r="K23" s="5" t="inlineStr">
        <is>
          <t>Pending</t>
        </is>
      </c>
      <c r="L23" s="5" t="inlineStr">
        <is>
          <t>Pending</t>
        </is>
      </c>
      <c r="M23" s="5" t="inlineStr">
        <is>
          <t>Pending. The 100-run full-suite capture loop (2026-10-12) produced 0 failures, so the failure message is still not captured.</t>
        </is>
      </c>
      <c r="N23" s="5" t="inlineStr">
        <is>
          <t>Residual risk, and it goes in the Release Evidence Summary by name. No evidence of a real defect after 300 runs, and no explanation either.</t>
        </is>
      </c>
      <c r="O23" s="5" t="inlineStr">
        <is>
          <t>Ethan</t>
        </is>
      </c>
    </row>
    <row r="24" ht="140" customHeight="1">
      <c r="B24" s="3" t="inlineStr">
        <is>
          <t>DEF-014</t>
        </is>
      </c>
      <c r="C24" s="4">
        <f>DATE(2026,10,12)</f>
        <v/>
      </c>
      <c r="D24" s="5" t="inlineStr">
        <is>
          <t>R. van der Merwe (via Negative Verifications)</t>
        </is>
      </c>
      <c r="E24" s="5" t="inlineStr">
        <is>
          <t>Observed: on the test cluster, with the application-level idempotency lookup bypassed (negative verification, case 2b and the isolated runs), a second requestHistory entry with the same (actorId, idempotencyKey) was accepted, so the unique index on (actorId, idempotencyKey) did not act there. Evidence: docs/evidence/M3_API_Negative_Verification.txt. Observed (2026-10-12): the civicconnect-app credential is refused listIndexes on every application collection on the test cluster (MongoServerError 8000, AtlasError), so the application cannot list its own indexes; createIndex remains inferred from the role definition. Inferred, not verified: the civicconnect-app role in DEC-003 has no createIndex privilege, so the schema’s indexes cannot be built by the application; if so, no cluster (test, staging or production) has them unless another user creates them. Nobody has listed the indexes on any cluster, and staging does not exist yet.</t>
        </is>
      </c>
      <c r="F24" s="5" t="inlineStr">
        <is>
          <t>src/models/RequestHistory.js (unique partial index on actorId, idempotencyKey), DEC-015 §3, M3 API Test Specification S5, DEC-003 civicconnect-app role (inferred cause)</t>
        </is>
      </c>
      <c r="G24" s="5" t="inlineStr">
        <is>
          <t>S2</t>
        </is>
      </c>
      <c r="H24" s="5" t="inlineStr">
        <is>
          <t>None on the code as it stands: the application-level lookup, version check and transition rule each stop the duplicate before the insert. The index is the last line of defence DEC-015 §3 relies on for two requests carrying the same key at the same moment. On the test cluster it did not act, so that path is unprotected there and cannot be tested there; on staging and production it is unverified (see E24).</t>
        </is>
      </c>
      <c r="I24" s="5" t="inlineStr">
        <is>
          <t>P1</t>
        </is>
      </c>
      <c r="J24" s="5" t="inlineStr">
        <is>
          <t>Open</t>
        </is>
      </c>
      <c r="K24" s="5" t="inlineStr">
        <is>
          <t>Pending</t>
        </is>
      </c>
      <c r="L24" s="5" t="inlineStr">
        <is>
          <t>Pending</t>
        </is>
      </c>
      <c r="M24" s="5" t="inlineStr">
        <is>
          <t>Pending</t>
        </is>
      </c>
      <c r="N24" s="5" t="inlineStr">
        <is>
          <t>Open. S2: release only with the limitation recorded, unless fixed first. Residual: on the test cluster the unique index on (actorId, idempotencyKey) did not act, so two requests carrying the same key at the same moment are unprotected there; on staging and production this is unverified.</t>
        </is>
      </c>
      <c r="O24" s="5" t="inlineStr">
        <is>
          <t>Ethan</t>
        </is>
      </c>
    </row>
    <row r="25" ht="140" customHeight="1">
      <c r="B25" s="3" t="inlineStr">
        <is>
          <t>DEF-015</t>
        </is>
      </c>
      <c r="C25" s="4">
        <f>DATE(2026,10,12)</f>
        <v/>
      </c>
      <c r="D25" s="5" t="inlineStr">
        <is>
          <t>R. van der Merwe</t>
        </is>
      </c>
      <c r="E25" s="5" t="inlineStr">
        <is>
          <t>Observed: on the test cluster, with the version check and the transition rule bypassed (isolated negative verification, case 1), a second requestHistory entry with the same (requestId, requestVersion) was accepted, so the unique index on (requestId, requestVersion) did not act there. Evidence: docs/evidence/M3_API_Negative_Verification.txt. Observed (2026-10-12): the civicconnect-app credential is refused listIndexes on every application collection on the test cluster (MongoServerError 8000, AtlasError), so the application cannot list its own indexes; createIndex remains inferred from the role definition. Inferred, not verified: the civicconnect-app role in DEC-003 has no createIndex privilege, so the schema’s indexes cannot be built by the application; if so, no cluster (test, staging or production) has them unless another user creates them. Nobody has listed the indexes on any cluster, and staging does not exist yet.</t>
        </is>
      </c>
      <c r="F25" s="5" t="inlineStr">
        <is>
          <t>src/models/RequestHistory.js (unique index on requestId, requestVersion), DEC-016 decision 4, M3 API Test Specification S5, DEC-003 civicconnect-app role (inferred cause)</t>
        </is>
      </c>
      <c r="G25" s="5" t="inlineStr">
        <is>
          <t>S2</t>
        </is>
      </c>
      <c r="H25" s="5" t="inlineStr">
        <is>
          <t>None on the code as it stands: the version check in the service and the version filter in requestRepository.applyChange each stop a second entry for the same version before the insert. The unique index on (requestId, requestVersion) is the last line of defence for two transitions racing on the same version (DEC-016 decision 4); without it, that race could write two history entries with the same requestVersion, which can never be removed (FR-6.7).</t>
        </is>
      </c>
      <c r="I25" s="5" t="inlineStr">
        <is>
          <t>P1</t>
        </is>
      </c>
      <c r="J25" s="5" t="inlineStr">
        <is>
          <t>Open</t>
        </is>
      </c>
      <c r="K25" s="5" t="inlineStr">
        <is>
          <t>Pending</t>
        </is>
      </c>
      <c r="L25" s="5" t="inlineStr">
        <is>
          <t>Pending</t>
        </is>
      </c>
      <c r="M25" s="5" t="inlineStr">
        <is>
          <t>Pending</t>
        </is>
      </c>
      <c r="N25" s="5" t="inlineStr">
        <is>
          <t>Open. S2: release only with the limitation recorded, unless fixed first. Residual: on the test cluster nothing stops two concurrent transitions on the same version from both writing history; on staging and production this is unverified.</t>
        </is>
      </c>
      <c r="O25" s="5" t="inlineStr">
        <is>
          <t>Ethan</t>
        </is>
      </c>
    </row>
    <row r="26" ht="140" customHeight="1">
      <c r="B26" s="3" t="inlineStr">
        <is>
          <t>DEF-016</t>
        </is>
      </c>
      <c r="C26" s="4">
        <f>DATE(2026,10,12)</f>
        <v/>
      </c>
      <c r="D26" s="5" t="inlineStr">
        <is>
          <t>Ethan</t>
        </is>
      </c>
      <c r="E26" s="5" t="inlineStr">
        <is>
          <t>A second test in the suite fails intermittently. 'health answers without a session, and reports both statuses — AC-NFR-1.6' (tests/app.test.js) failed once, in the NV-56 full-suite run on 2026-10-12, alongside the failure that run was expected to produce. It did not fail in the other nine sabotage runs or in any green re-run in that folder. The failure message was not captured. It was not re-run until it passed; the failure is recorded as it happened, in docs/evidence/M3-client/NV-56_ROLE_value_as_a_quoted_literal.txt and INDEX.txt (PR #89). It is distinct from DEF-013, which is a different test ('login sets __Host-sid…'). Both are in tests/app.test.js, both start the application in-process and call it over HTTP on a loopback port, and both failed during repeated full-suite runs while code was being sabotaged and restored. That points to a common cause in how app.test.js runs its HTTP tests, but it is unconfirmed.</t>
        </is>
      </c>
      <c r="F26" s="5" t="inlineStr">
        <is>
          <t>AC-NFR-1.6, tests/app.test.js, npm test and the CI test job; related to DEF-013</t>
        </is>
      </c>
      <c r="G26" s="5" t="inlineStr">
        <is>
          <t>S3</t>
        </is>
      </c>
      <c r="H26" s="5" t="inlineStr">
        <is>
          <t>The test is part of npm test, which is the CI gate. An intermittent failure there means a red build that doesn’t indicate a real fault, and invites re-running until green. Together with DEF-013 it suggests app.test.js’s HTTP tests are not reliable under some condition. Until the cause is known, a failure of either test can’t be told apart from a real fault in the health endpoint or the session cookie.</t>
        </is>
      </c>
      <c r="I26" s="5" t="inlineStr">
        <is>
          <t>P1</t>
        </is>
      </c>
      <c r="J26" s="5" t="inlineStr">
        <is>
          <t>Open</t>
        </is>
      </c>
      <c r="K26" s="5" t="inlineStr">
        <is>
          <t>Pending. Capture the failure message, preferably together with DEF-013’s, then decide whether the cause is in the test setup (shared server, ports, timing) or in the application. Fix the cause without weakening any assertion. Until then, every failure is reported as it occurs and never re-run until green.</t>
        </is>
      </c>
      <c r="L26" s="5" t="inlineStr">
        <is>
          <t>Pending</t>
        </is>
      </c>
      <c r="M26" s="5" t="inlineStr">
        <is>
          <t>Pending. Observed on 2026-10-12: 1 failure, in the NV-56 run, out of the full-suite runs made for NV-55 to NV-65. Failure message not captured.</t>
        </is>
      </c>
      <c r="N26" s="5" t="inlineStr">
        <is>
          <t>Not release-blocking (S3). Residual: an intermittent fault in the health endpoint is not ruled out, and the CI gate can go red without a real fault.</t>
        </is>
      </c>
      <c r="O26" s="5" t="inlineStr">
        <is>
          <t>Ethan</t>
        </is>
      </c>
    </row>
  </sheetData>
  <autoFilter ref="B10:O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2026-10-11T15:42:55Z</dcterms:created>
  <dcterms:modified xsi:type="dcterms:W3CDTF">2026-10-12T19:01:34Z</dcterms:modified>
</cp:coreProperties>
</file>