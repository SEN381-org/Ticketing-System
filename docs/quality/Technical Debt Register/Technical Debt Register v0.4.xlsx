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lind\m4-wt\records\docs\quality\Technical Debt Register\"/>
    </mc:Choice>
  </mc:AlternateContent>
  <xr:revisionPtr revIDLastSave="0" documentId="13_ncr:1_{F41F7C82-5200-47FA-9A36-73BE2FDFD438}" xr6:coauthVersionLast="47" xr6:coauthVersionMax="47" xr10:uidLastSave="{00000000-0000-0000-0000-000000000000}"/>
  <bookViews>
    <workbookView xWindow="-108" yWindow="-108" windowWidth="30936" windowHeight="17496" xr2:uid="{00000000-000D-0000-FFFF-FFFF00000000}"/>
  </bookViews>
  <sheets>
    <sheet name="Technical Debt Register" sheetId="1" r:id="rId1"/>
  </sheets>
  <definedNames>
    <definedName name="_xlnm._FilterDatabase" localSheetId="0" hidden="1">'Technical Debt Register'!$B$4:$M$12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 r="C11" i="1"/>
  <c r="C10" i="1"/>
  <c r="C9" i="1"/>
  <c r="C8" i="1"/>
  <c r="C7" i="1"/>
  <c r="C6" i="1"/>
  <c r="C5" i="1"/>
</calcChain>
</file>

<file path=xl/sharedStrings.xml><?xml version="1.0" encoding="utf-8"?>
<sst xmlns="http://schemas.openxmlformats.org/spreadsheetml/2006/main" count="102" uniqueCount="97">
  <si>
    <t>Technical Debt Register</t>
  </si>
  <si>
    <t>ID</t>
  </si>
  <si>
    <t>Date raised</t>
  </si>
  <si>
    <t>Description</t>
  </si>
  <si>
    <t>Why incurred</t>
  </si>
  <si>
    <t>Requirements / decisions affected</t>
  </si>
  <si>
    <t>Consequence while unpaid</t>
  </si>
  <si>
    <t>Containment and verification now</t>
  </si>
  <si>
    <t>Repayment</t>
  </si>
  <si>
    <t>Repayment trigger</t>
  </si>
  <si>
    <t>Owner</t>
  </si>
  <si>
    <t>Status</t>
  </si>
  <si>
    <t>Linked artefacts</t>
  </si>
  <si>
    <t>TD-001</t>
  </si>
  <si>
    <t>The DEC-011 subscribers (NotificationSubscriber, ReportingProjectionSubscriber) are not registered in the composed application. A status transition publishes request.status.changed to no listeners.</t>
  </si>
  <si>
    <t>M3 Phase 0 is reachability only. No notification or reportingCounts repository exists, and the reporting projection has no reconciliation path (OI-14), so wiring it now would create counts that drift with no recovery.</t>
  </si>
  <si>
    <t>FR-3.4, FR-3.5, FR-8.1, FR-8.2, SCP-004, DEC-011, OI-14</t>
  </si>
  <si>
    <t>No in-app notifications are created and reportingCounts is not maintained. DEC-011's mechanism is live but unexercised in the running application. Transitions are unaffected: publish() with no listeners is a no-op that cannot throw.</t>
  </si>
  <si>
    <t>A test asserts listSubscriptions() is empty once the application is composed, and cites TD-001. Registering a subscriber breaks that test, which forces this entry to be updated in the same change.</t>
  </si>
  <si>
    <t>Build the notification and reportingCounts repositories; call registerSubscribers() from the composition root; resolve OI-14 (reconciliation) before attaching the projection; replace the empty-registry test with one asserting both registrations.</t>
  </si>
  <si>
    <t>When FR-3.4 or FR-8.x enters M3 scope after Phase 0.</t>
  </si>
  <si>
    <t>Unassigned</t>
  </si>
  <si>
    <t>Open</t>
  </si>
  <si>
    <t>TD-002</t>
  </si>
  <si>
    <t>FR-1.6 effective permissions are specified (DB-01 §3.7) as union(role permissions, group permissions), and effective category authorisation as union(user, groups), resolved by the guard. Not implemented: accessRules.js evaluates OPERATION_RULES by role and the user's own categoryAuthorisations only. Groups are modelled and never evaluated.</t>
  </si>
  <si>
    <t>Implementing the union changes authorisation rules, which belong in src/domain/accessRules.js under DEC-012, not in the Phase 0 session work. Recorded as debt, not an open item, because the rule is specified, not undecided.</t>
  </si>
  <si>
    <t>FR-1.6, AC-FR-1.6, CON-019, DEC-012, DB-01 §3.7</t>
  </si>
  <si>
    <t>Group membership grants nothing. An Administrator can define groups (once FR-1.6 administration exists) with no effect on access. When repaid, a further consequence follows: a group permission can admit a non-staff user at DEC-012 enforcement point 1 (the route guard), but enforcement point 2 (mayActOnRequest) is role-based and refuses every non-staff actor, so for non-staff users the union would admit at one point and refuse at the next. Points 1 and 2 would disagree. Recorded here as a consequence, not as an open item.</t>
  </si>
  <si>
    <t>req.actor already carries groupIds (DEC-018 §4), read from users on every request. Security-category protection (FR-1.5) holds today ONLY because groups cannot carry roles and both mayActOnRequest and mayViewRequest check the Security Officer role BEFORE category authorisation. DB-01 §3.7 does not itself scope the union away from security categories. Enforced by test, not by memory: two TD-002 constraint tests in tests/authorisationGuard.test.js fail if the role-first check is removed from either predicate (commit 4921f4c; negative verification NV-23, NV-24).</t>
  </si>
  <si>
    <t>The rule change is inside src/domain/accessRules.js under DEC-012. groupIds alone does not carry permissions: the groups documents must also be read per request (no caching, NFR-2.7) by a component with repository access, and where that read happens is part of the repayment. CONSTRAINT ON REPAYMENT: the role-first Security Officer check must be preserved in both predicates, and the TD-002 constraint tests must still pass unchanged. The accessRules tests gain group cases, negative-verified.</t>
  </si>
  <si>
    <t>When FR-1.6 group administration is built, or before CON-019 testing, whichever comes first.</t>
  </si>
  <si>
    <t>DB-01 §3.7 · DEC-012 · DEC-018</t>
  </si>
  <si>
    <t>TD-003</t>
  </si>
  <si>
    <t>The thin React client builds its transition choices from the shared STATUS values (shared/domainValues.js) and lets the server refuse anything not permitted, instead of being told by the server which transitions the actor may make. The better design is for the read response to carry the actor's permitted next statuses, derived on the server from the transition table, so that the client holds no copy of the rules at all: the same argument DEC-012 makes for a single rule set on the server.</t>
  </si>
  <si>
    <t>Returning the permitted transitions expands GET /api/v1/requests/{id} beyond reference, status and version. The read response was deliberately kept to those three fields, because every further field needs a visibility rule and DEC-012 enforcement point 3 (the response serialiser) is not built (CFL-002 / OI-16). The endpoint itself is provisional: FR-4.2 is Proposed pending OI-01.</t>
  </si>
  <si>
    <t>FR-6.2, FR-4.2 (OI-01), DEC-012, DEC-015 §1, CFL-002, OI-16</t>
  </si>
  <si>
    <t>A user can be offered a transition the server will refuse; the refusal is correct but the choice should not have been offered. The values themselves cannot drift, because the client imports the same module as the server; the rules do not drift either, because the client applies none. The cost is presentation and an avoidable round trip, not a wrong decision.</t>
  </si>
  <si>
    <t>The client performs no rule checks: every transition is decided by the server (statusTransitionService, checkTransition). The E2E journey's no-reason step depends on that: it only tests the server because the client does not validate. shared/domainValues.js is tested to contain no imports, and to export the same objects that src/models/_shared.js re-exports, so there is one source of the values.</t>
  </si>
  <si>
    <t>Add the actor's permitted next statuses to the read response, derived from TRANSITIONS through the existing domain function rather than a new rule; render only those in the client; additive DEC-015 change recorded as a new version.</t>
  </si>
  <si>
    <t>When DEC-012 enforcement point 3 is built (CFL-002 / OI-16 resolved), so that the expanded read response has a serialiser to pass through.</t>
  </si>
  <si>
    <t>TD-004</t>
  </si>
  <si>
    <t>DEC-003 v0.2 deliberately gives civicconnect-app per-collection CRUD with no database-wide role (least privilege, CON-006; DB-01 layer 3), so a destructive grant cannot creep back in. Index creation was left to the schema declarations, and nothing records which credential creates them under a role that cannot. DEC-003’s deploy procedure runs migrations but names no index step. The M3 API test specification (S5) assumed the test cluster’s indexes had been created by hand.</t>
  </si>
  <si>
    <t>FR-1.1, FR-2.6, FR-4.3, FR-6.7, NFR-3.4, NFR-1.4, DEC-003, DEC-015 §3, DEC-016, DEC-017, DB-01, CON-006, PROC-001</t>
  </si>
  <si>
    <t>On the test cluster, observed: the unique and query indexes on requestHistory, requests and users are absent. Elsewhere: any cluster where nobody has created them, which nobody has checked.
Uniqueness is not enforced by the database. Duplicate history entries under concurrency (DEF-014, DEF-015) and duplicate user emails (DEF-017) are stopped only by application checks where they exist. requests.reference (FR-2.6, “unique, immutable”) has no database guarantee either. No code creates requests yet, so nothing is affected today, but request submission must not ship before this is repaid, or it becomes a defect.
TTL deletion does not run where the TTL index is missing. On the test cluster the sessions TTL exists; notifications and auditLog were not checked. Notifications not removed at 30 days breaks how DEC-017 purpose A is normally met for them (PROC-001: “normally already removed by the 30-day TTL”), and auditLog entries are not removed at 92 days. The 30-minute session idle limit is enforced in code (DEC-018) either way.
The text index on requests is absent. No code issues a $text query today. A $text query without a text index fails with an error rather than running slowly, so this must be repaid before FR-4.3 search ships.
Queries run without the indexes DB-01 justified for them.</t>
  </si>
  <si>
    <t>An index-provisioning step run by a privileged, temporary Atlas database user, the pattern PROC-001 uses for retention-operator:
a dated temporary user with a custom role limited to createIndex and listIndexes on the application’s collections, a short expiry, and deleted after the run;
the step creates the indexes from the same schema definitions (e.g. Model.createIndexes(), not syncIndexes, which also drops indexes), so there is one source;
it then runs listIndexes on every collection and compares the result with the schema definitions, with the comparison recorded as evidence.
Run it on the test cluster first, and re-run the DEF-014 and DEF-015 negative verifications to show the indexes now act. Then run it on staging before the deployment. Record it in a new DEC-003 version (deploy procedure).</t>
  </si>
  <si>
    <t>Before the staging deployment.</t>
  </si>
  <si>
    <t>Ethan</t>
  </si>
  <si>
    <t>No step builds the database indexes. The Mongoose schemas declare 21 indexes across 10 collections (src/models/*.js, DB-01). They include the unique indexes on users.email (FR-1.1), requests.reference (FR-2.6) and the two on requestHistory (DEC-015 §3, DEC-016 decision 4), and the TTL indexes on sessions (NFR-3.4), notifications and auditLog (DEC-017). Observed on the test cluster (2026-10-12): requestHistory, requests and users, which hold 95, 126 and 112 documents, have only the default _id_ index, so 10 of their 11 declared indexes are absent. sessions has its TTL index, which the application’s credential could not have created (docs/evidence/M3-indexes/atlas_ui_index_listing_test_cluster.txt). Also observed: that credential’s server-reported grants on requestHistory and sessions include no createIndex, it has no database-wide grant (docs/evidence/DB-01_layer3_verification.txt), and it is refused listIndexes on every collection (docs/evidence/M3-indexes/listIndexes_refused_civicconnect-app.txt). Inferred, not observed: that the missing grant is why the indexes are absent; nobody watched an index build fail. No procedure, migration or deploy step builds them with another user. Staging and production are unverified.</t>
  </si>
  <si>
    <t>The application-level guards (idempotency lookup, version check, transition rule) stop duplicate history entries on the code as it stands. Shown by the negative verifications in docs/evidence/M3_API_Negative_Verification.txt. Nothing contains the rest; in particular nothing refuses a duplicate email (DEF-017). The application’s credential is refused listIndexes, so it cannot check its own indexes. The test cluster’s state was listed by hand in the Atlas UI (docs/evidence/M3-indexes/atlas_ui_index_listing_test_cluster.txt). Progress at v0.3 (15/10/2026): the repayment step is built (scripts/atlas/provision-indexes.js with tests and NV-83 to NV-90, PR #98; DEC-003 v0.3 deployment step 5) and was run on the test cluster on 14/10/2026 under a temporary least-privilege user. Run 1 created 31 indexes (21 declared plus 10 _id_) with RESULT PASS 21 of 21, and run 2 was a no-op with the same result (PR #102). With the application's credential, duplicates were then refused on every unique index tested: L2 to L4 and S1 to S3. On the staging cluster it was run on 15/10/2026 by R. van der Merwe at the v3.0-M3-rc commit 30ff0c6: run 1 (13:28:08 to 13:28:17 UTC) created 31 indexes with RESULT PASS 21 of 21, and run 2 (13:28:17 to 13:28:25 UTC) created none with the same result (docs/evidence/M3-indexes/index_provisioning_staging_run1.txt and index_provisioning_staging_run2.txt, PR #111). Not yet shown: the step on Node 22 (every run so far used Node 26.0.0), and the deploy-script ordering (staging is deployed by hand).</t>
  </si>
  <si>
    <t>Repaid (test and staging clusters). Production has no cluster yet; DEC-003 v0.4 step 5 builds its indexes before its first deploy.</t>
  </si>
  <si>
    <t>TD-005</t>
  </si>
  <si>
    <t>TD-006</t>
  </si>
  <si>
    <t>TD-007</t>
  </si>
  <si>
    <t>TD-008</t>
  </si>
  <si>
    <t>AC-FR-1.3's third clause is not built: when an operation is rejected because the acting user's role is not authorised, the rejected attempt is not recorded. The rejection and "no change to the request" are built: the route guard (DEC-012 point 1) and the service (point 2) refuse before any write.</t>
  </si>
  <si>
    <t>Recorded rather than built for the M3 release candidate (decision of 14/10/2026). No component records a refused operation. The error handler logs only unrecognised errors, and an AuthorisationError is a recognised error that is answered (403 or 404) and not logged. The only security events the application records are the auth service's: auth.login.success, auth.login.failure and auth.logout (auditRepository.recordSecurityEvent).</t>
  </si>
  <si>
    <t>FR-1.3, AC-FR-1.3, DEC-012, NFR-3.3, CON-019</t>
  </si>
  <si>
    <t>An unauthorised attempt, mistaken or deliberate, leaves no record an operator or auditor can review, so repeated probing of a function the user does not hold can't be seen after the fact. AC-FR-1.3 cannot pass, and the RTM shows FR-1.3 as partial.</t>
  </si>
  <si>
    <t>The refusal itself is enforced and tested: the route guard refuses before the handler runs (test "the guard refuses before the handler runs — DEC-012 path A", NV-92; M3 Test Evidence Records UT-2), and the service refuses before any write (statusTransitionService tests). Only the record of the attempt is missing.</t>
  </si>
  <si>
    <t>Record each refused operation (the actor's id and role, the operation, the target where known, the time) from the guard's and the service's refusal paths, with no personal data beyond the actor id. The auth service's auditRepository.recordSecurityEvent already records security events in auditLog, and is the obvious place; the choice is made with the repayment. Add a test that fails if a refusal is not recorded, seen to fail.</t>
  </si>
  <si>
    <t>Before any production deployment.</t>
  </si>
  <si>
    <t>No unit test asserts that a reject without a reason is refused. AC-FR-6.6 covers both close and reject. The unit test "Closed and Rejected require a recorded reason — FR-6.6" asserts a close without a reason is refused, but checks a reject only with a reason. NV-97 confirmed the gap: with the reason check removed for Rejected alone, the whole unit suite still passed.</t>
  </si>
  <si>
    <t>Found while writing the M3 test evidence records (BB-2), after tests were frozen at v3.0-M3-rc. Only docs/ and perf/ may change before v3.0-M3-baseline, so the test can't be strengthened in M3.</t>
  </si>
  <si>
    <t>FR-6.6, AC-FR-6.6, FR-3.4 (the reason fed back to the requester)</t>
  </si>
  <si>
    <t>A change that exempted Rejected from the reason rule would pass the unit suite and CI. The behaviour is correct today (REASON_REQUIRED in src/domain/requestStatus.js holds both Closed and Rejected), but no unit test holds it.</t>
  </si>
  <si>
    <t>E2E-1 step 3 sends a reject with no reason and asserts a 422 refusal with nothing written, and it passed at v3.0-M3-rc (docs/evidence/M3-e2e/E2E_local_run_v3.0-M3-rc_2026-10-15_run2.txt). That covers the gap end to end, but only when the E2E suite is run, and CI doesn't run it.</t>
  </si>
  <si>
    <t>Add the missing assertion (a reject without a reason is refused) to the FR-6.6 unit test, and repeat NV-97's break to show it now fails.</t>
  </si>
  <si>
    <t>The first test change after v3.0-M3-baseline.</t>
  </si>
  <si>
    <t>tests/openapiContract.test.js and tests/openapiRoutes.test.js read docs/api/openapi.yaml with regular expressions and never parse it as YAML (both files say so in their headers). An invalid contract can therefore pass CI. Observed in PR #105 at 5be4489: an unterminated pattern string and a duplicated block of schemas, with every CI check green. A js-yaml parse fails on that commit and passes on the fix (6399625).</t>
  </si>
  <si>
    <t>DEC-015 (the API contract), docs/api/openapi.yaml, DEF-002</t>
  </si>
  <si>
    <t>The published contract can be syntactically invalid, or carry duplicate definitions, with no gate failing. Anyone generating a client from it, or reading it with a tool, gets an error or the wrong schema.</t>
  </si>
  <si>
    <t>Review only. The #105 breakage was caught in review and confirmed with a one-off parse (npx js-yaml@4.1.0, 15/10/2026: exit 1 on 5be4489, exit 0 on 6399625).</t>
  </si>
  <si>
    <t>Parse openapi.yaml in a test (a YAML or OpenAPI parser as a dev dependency) and fail on a parse error or a duplicate key; break the file once deliberately and record that the test fails.</t>
  </si>
  <si>
    <t>The next change to docs/api/openapi.yaml, or M4, whichever is first.</t>
  </si>
  <si>
    <t>The 8 integration cases (40 checks) in tests/integration/ (idempotency 2a to 2e, stale If-Match 412, transaction boundary, wrong-role 403) never run in CI. They need a cluster credential, and CI has none (MONGODB_URI unset), so every CI run reports them as skipped ("integration cases were NOT run"). They run only by hand against the test cluster (npm run test:integration).</t>
  </si>
  <si>
    <t>The cases write fixtures the application role can't delete (DB-01 layer 3), so they're opt-in and guarded to the test cluster only. Giving CI a credential to a shared cluster was not done for M3.</t>
  </si>
  <si>
    <t>DEC-015 §2–4, DEC-016, NFR-1.10 (the transaction-boundary case tests AC-NFR-1.10 v0.3 as proposed in CR-001, which is not baselined; Acceptance Criteria v0.3 still carries the v0.2 criterion), M3 API Test Specification</t>
  </si>
  <si>
    <t>A change that breaks idempotency, If-Match, the transaction boundary or the role refusal at API level isn't caught by the CI gate. It's caught only if someone runs the suite by hand. A green CI says nothing about these cases.</t>
  </si>
  <si>
    <t>Run by hand against the test cluster and recorded in docs/evidence/M3_API_Test_Run.txt (2026-10-12 16:18:55 UTC, Node 26, exit code 1: 15 of 40 checks fail, all of them the documented DEC-015 differences D1–D5, logged as DEF-007 to DEF-011). The unit suite covers the same rules with injected collaborators. "Skipped" is printed with its reason, never reported as passed.</t>
  </si>
  <si>
    <t>Run the 8 cases in CI against a single-node MongoDB replica set started inside the job (a mongo:8.0 service container or MongoMemoryReplSet), so transactions work, no secret is needed and nothing is written to a shared cluster. A credential to the real test cluster isn't an option: the repo is public, so a CI secret for a shared cluster is a risk we shouldn't take. The harness guard would accept that local target only when CI sets an explicit marker. The documented DEC-015 differences run as expected failures, so the job is green only if they still fail the documented way and everything else passes. What stays manual is the Atlas-specific part: the civicconnect-app role restrictions (DB-01 layer 3), TLS and the network path, which are run by hand against the test cluster before each release candidate.</t>
  </si>
  <si>
    <t>The first change to the transition path (statusTransitionService, the repositories, the unit of work, If-Match or idempotency handling), or the fix for any of DEF-007 to DEF-011, whichever comes first. Those change exactly what these cases cover, so they should land with the cases running in CI. At the latest, before the M4 release candidate.</t>
  </si>
  <si>
    <t>Christiaan</t>
  </si>
  <si>
    <t>DEF-014 · DEF-015 · DEC-003 · DB-01 · PROC-001 · CON-006 · DEF-017 · docs/evidence/M3-indexes/listIndexes_refused_civicconnect-app.txt · docs/evidence/M3-indexes/atlas_ui_index_listing_test_cluster.txt · PR #98 · PR #102 · PR #111 · docs/evidence/M3-indexes/index_provisioning_test_run1.txt · docs/evidence/M3-indexes/index_provisioning_test_run2.txt · docs/evidence/M3-indexes/index_duplicate_refusal_test_2026-10-14.txt · docs/evidence/M3-indexes/index_provisioning_staging_run1.txt · docs/evidence/M3-indexes/index_provisioning_staging_run2.txt</t>
  </si>
  <si>
    <t>Each test was written to check one thing (the Problem.code set, DEF-002; the route set), and no YAML parser is a project dependency.</t>
  </si>
  <si>
    <t>Partly repaid (PR #136, 82f41c4). The NotificationSubscriber is registered in the composition root and creates the requester's notifications (FR-3.4; NV-131, NV-132). The ReportingProjectionSubscriber is still not registered: the management view computes its counts from requests directly (FR-8.1, FR-8.2), so reportingCounts is not maintained, and attaching it still waits on OI-14. Open for the projection.</t>
  </si>
  <si>
    <t>Repaid (PR #136, f7ca667). The read carries permittedTransitions (and permittedAssignment) derived on the server from the transition table and the assignment rule, and the client renders only those (NV-153, NV-164, NV-165). Repaid before its trigger: DEC-012 point 3 is still not built, so the expanded read passes through the existing per-role field selection, not a serialiser.</t>
  </si>
  <si>
    <t>Repaid (PR #136, a7053fb). A refused operation is recorded with the actor's id and role, the operation, the target where known, and the time, from both the route guard and the service (NV-118, NV-119); E2E-2a refuses a Technician's reject with nothing written. The recording is shown over HTTP with a faked audit repository, not read back from the cluster.</t>
  </si>
  <si>
    <t>Repaid (PR #136, 804138f). The FR-6.6 unit test now asserts that a reject without a reason is refused; NV-141 repeats NV-97's break (the reason check removed for Rejected alone) and the test fails.</t>
  </si>
  <si>
    <t>DEC-011 · OI-14 · DEC-018 · PR #136 (82f41c4) · NV-131 · NV-132</t>
  </si>
  <si>
    <t>DEC-012 · DEC-015 · OI-01 · OI-16 · PR #136 (f7ca667, 74287c6, 949cfdf) · NV-151 · NV-153 · NV-164 · NV-165 · DEC-015 Addendum A</t>
  </si>
  <si>
    <t>AC-FR-1.3 · DEC-012 · M3 Test Evidence Records UT-2 (PR #104) · PR #106 (known limitations) · PR #136 (a7053fb) · NV-118 · NV-119 · NV-120 · E2E-2a</t>
  </si>
  <si>
    <t>M3 Test Evidence Records BB-2 · NV-97 (docs/evidence/M3-test-records/) · AC-FR-6.6 · E2E-1 · PR #136 (804138f) · NV-141</t>
  </si>
  <si>
    <t>PR #105 · DEF-002 · DEC-015 · PR #123 · docs/evidence/M4-CI/TD-007_openapi_parse_negative_verification.txt</t>
  </si>
  <si>
    <t>Known shortcuts and unimplemented baselined rules, why each was accepted, what it costs while unpaid, and what repaying it involves. A debt item is never deleted: a repaid item is marked Repaid with its PR. | Version 0.4 (17/10/2026, E. Lindsay). M4 build (PR #136, frozen at 6408ab7): TD-003, TD-005 and TD-006 marked Repaid; TD-001 marked Partly repaid (the notification subscriber is registered; the reportingCounts projection is not); TD-007 marked Repaid by PR #123 (C. Burger; merged to dev before M4), and its owner set to C. Burger; TD-008 marked Repaid by PR #122, with its evidence the integration job on the dev push after PR #136 (CI run 39079571516 on dev at cb8bca3, 17/10/2026 23:35 UTC: 40 of 40, 0 skipped), and the job a required check in the dev ruleset ("dev rule", which covers dev and main) since 18/10/2026, set by C. Burger. TD-002 and TD-004 unchanged. No new item. | Version 0.3 (15/10/2026). Adds TD-005 (AC-FR-1.3: a rejected operation is not recorded), TD-006 (no unit test asserts that a reject without a reason is refused) and TD-007 (the OpenAPI tests do not parse the YAML), raised by E. Lindsay, and TD-008 (the 8 integration cases never run in CI), raised by C. Burger. TD-004 marked Repaid on the test and staging clusters: the provisioning step is built (PR #98) and was run with RESULT PASS 21 of 21 on the test cluster (PR #102) and the staging cluster (PR #111); production has no cluster yet. TD-001 to TD-003 unchanged. Version 0.2 (12/10/2026). Adds TD-003 (the client builds its transition choices from the shared STATUS values rather than being told by the server which transitions the actor may make) and TD-004 (no step builds the database indexes the schemas declare, and the application’s database role cannot), both raised by E. Lindsay; TD-001 and TD-002 unchanged. Version 0.1 (11/10/2026). Register created during M3 Phase 0 with TD-001 (DEC-011 subscribers not registered) and TD-002 (the FR-1.6 role and group union specified in DB-01 §3.7 but not implemented), both raised by E. Lindsay.</t>
  </si>
  <si>
    <t>Repaid by PR #123 (C. Burger; 38b055a, merged to dev 7f7f324). The OpenAPI contract tests parse docs/api/openapi.yaml and fail on a parse error or a duplicate key; the negative verification is recorded.</t>
  </si>
  <si>
    <t>Repaid (PR #122): the 8 cases run in CI against a single-node MongoDB 8.0 replica set started in the job, with no cluster credential. On the dev push of PR #136's merge commit cb8bca3 (CI run 39079571516, 17/10/2026 23:35 UTC) the job ran 40 of 40, 0 fail, 0 skipped; PR #122's own run on the earlier dev was 25 of 40, the M3 DEC-015 defects that PR #136 fixes. The job is a required check in the dev ruleset ("dev rule", which covers dev and main) since 18/10/2026, set by C. Burger.</t>
  </si>
  <si>
    <t>tests/integration/ · docs/quality/M3_API_Test_Specification.md · docs/evidence/M3_API_Test_Run.txt · DEF-007 to DEF-011 · CR-001 · PR #122 · CI run 39079571516 (dev, cb8bca3: 40 of 40) · PR #136 · dev ruleset "dev rule" (required check, 18/10/2026)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</si>
</sst>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b/>
      <sz val="14"/>
      <color rgb="FF1F3864"/>
      <name val="Arial"/>
      <family val="2"/>
    </font>
    <font>
      <b/>
      <sz val="10"/>
      <color rgb="FFFFFFFF"/>
      <name val="Arial"/>
      <family val="2"/>
    </font>
    <font>
      <b/>
      <sz val="10"/>
      <color rgb="FF000000"/>
      <name val="Arial"/>
      <family val="2"/>
    </font>
    <font>
      <sz val="10"/>
      <color rgb="FF000000"/>
      <name val="Arial"/>
      <family val="2"/>
    </font>
    <font>
      <sz val="8"/>
      <name val="Calibri"/>
      <family val="2"/>
      <scheme val="minor"/>
    </font>
  </fonts>
  <fills count="4">
    <fill>
      <patternFill patternType="none"/>
    </fill>
    <fill>
      <patternFill patternType="gray125"/>
    </fill>
    <fill>
      <patternFill patternType="solid">
        <fgColor rgb="FF2F5597"/>
        <bgColor indexed="64"/>
      </patternFill>
    </fill>
    <fill>
      <patternFill patternType="solid">
        <fgColor rgb="FFFFFFFF"/>
        <bgColor indexed="64"/>
      </patternFill>
    </fill>
  </fills>
  <borders count="5">
    <border>
      <left/>
      <right/>
      <top/>
      <bottom/>
      <diagonal/>
    </border>
    <border>
      <left/>
      <right/>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center"/>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top" wrapText="1"/>
    </xf>
    <xf numFmtId="164" fontId="4" fillId="3" borderId="4" xfId="0" applyNumberFormat="1" applyFont="1" applyFill="1" applyBorder="1" applyAlignment="1">
      <alignment vertical="top" wrapText="1"/>
    </xf>
    <xf numFmtId="0" fontId="4" fillId="3" borderId="4" xfId="0" applyFont="1" applyFill="1" applyBorder="1" applyAlignment="1">
      <alignment vertical="top" wrapText="1"/>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2"/>
  <sheetViews>
    <sheetView tabSelected="1" zoomScale="70" zoomScaleNormal="70" workbookViewId="0">
      <pane xSplit="2" ySplit="4" topLeftCell="C11" activePane="bottomRight" state="frozen"/>
      <selection pane="topRight"/>
      <selection pane="bottomLeft"/>
      <selection pane="bottomRight" activeCell="M13" sqref="M13"/>
    </sheetView>
  </sheetViews>
  <sheetFormatPr defaultRowHeight="14.4" x14ac:dyDescent="0.3"/>
  <cols>
    <col min="2" max="2" width="10" customWidth="1"/>
    <col min="3" max="3" width="12" customWidth="1"/>
    <col min="4" max="4" width="48" customWidth="1"/>
    <col min="5" max="5" width="44" customWidth="1"/>
    <col min="6" max="6" width="26" customWidth="1"/>
    <col min="7" max="8" width="44" customWidth="1"/>
    <col min="9" max="9" width="52" customWidth="1"/>
    <col min="10" max="10" width="30" customWidth="1"/>
    <col min="11" max="11" width="14" customWidth="1"/>
    <col min="12" max="12" width="12" customWidth="1"/>
    <col min="13" max="13" width="30" customWidth="1"/>
  </cols>
  <sheetData>
    <row r="1" spans="2:13" ht="17.399999999999999" x14ac:dyDescent="0.3">
      <c r="B1" s="1" t="s">
        <v>0</v>
      </c>
    </row>
    <row r="2" spans="2:13" x14ac:dyDescent="0.3">
      <c r="B2" s="6" t="s">
        <v>93</v>
      </c>
      <c r="C2" s="6"/>
      <c r="D2" s="6"/>
      <c r="E2" s="6"/>
      <c r="F2" s="6"/>
      <c r="G2" s="6"/>
    </row>
    <row r="4" spans="2:13" ht="26.4" x14ac:dyDescent="0.3">
      <c r="B4" s="2" t="s">
        <v>1</v>
      </c>
      <c r="C4" s="2" t="s">
        <v>2</v>
      </c>
      <c r="D4" s="2" t="s">
        <v>3</v>
      </c>
      <c r="E4" s="2" t="s">
        <v>4</v>
      </c>
      <c r="F4" s="2" t="s">
        <v>5</v>
      </c>
      <c r="G4" s="2" t="s">
        <v>6</v>
      </c>
      <c r="H4" s="2" t="s">
        <v>7</v>
      </c>
      <c r="I4" s="2" t="s">
        <v>8</v>
      </c>
      <c r="J4" s="2" t="s">
        <v>9</v>
      </c>
      <c r="K4" s="2" t="s">
        <v>10</v>
      </c>
      <c r="L4" s="2" t="s">
        <v>11</v>
      </c>
      <c r="M4" s="2" t="s">
        <v>12</v>
      </c>
    </row>
    <row r="5" spans="2:13" ht="150" customHeight="1" x14ac:dyDescent="0.3">
      <c r="B5" s="3" t="s">
        <v>13</v>
      </c>
      <c r="C5" s="4">
        <f>DATE(2026,10,11)</f>
        <v>46306</v>
      </c>
      <c r="D5" s="5" t="s">
        <v>14</v>
      </c>
      <c r="E5" s="5" t="s">
        <v>15</v>
      </c>
      <c r="F5" s="5" t="s">
        <v>16</v>
      </c>
      <c r="G5" s="5" t="s">
        <v>17</v>
      </c>
      <c r="H5" s="5" t="s">
        <v>18</v>
      </c>
      <c r="I5" s="5" t="s">
        <v>19</v>
      </c>
      <c r="J5" s="5" t="s">
        <v>20</v>
      </c>
      <c r="K5" s="5" t="s">
        <v>21</v>
      </c>
      <c r="L5" s="5" t="s">
        <v>84</v>
      </c>
      <c r="M5" s="5" t="s">
        <v>88</v>
      </c>
    </row>
    <row r="6" spans="2:13" ht="150" customHeight="1" x14ac:dyDescent="0.3">
      <c r="B6" s="3" t="s">
        <v>23</v>
      </c>
      <c r="C6" s="4">
        <f>DATE(2026,10,11)</f>
        <v>46306</v>
      </c>
      <c r="D6" s="5" t="s">
        <v>24</v>
      </c>
      <c r="E6" s="5" t="s">
        <v>25</v>
      </c>
      <c r="F6" s="5" t="s">
        <v>26</v>
      </c>
      <c r="G6" s="5" t="s">
        <v>27</v>
      </c>
      <c r="H6" s="5" t="s">
        <v>28</v>
      </c>
      <c r="I6" s="5" t="s">
        <v>29</v>
      </c>
      <c r="J6" s="5" t="s">
        <v>30</v>
      </c>
      <c r="K6" s="5" t="s">
        <v>21</v>
      </c>
      <c r="L6" s="5" t="s">
        <v>22</v>
      </c>
      <c r="M6" s="5" t="s">
        <v>31</v>
      </c>
    </row>
    <row r="7" spans="2:13" ht="150" customHeight="1" x14ac:dyDescent="0.3">
      <c r="B7" s="3" t="s">
        <v>32</v>
      </c>
      <c r="C7" s="4">
        <f>DATE(2026,10,12)</f>
        <v>46307</v>
      </c>
      <c r="D7" s="5" t="s">
        <v>33</v>
      </c>
      <c r="E7" s="5" t="s">
        <v>34</v>
      </c>
      <c r="F7" s="5" t="s">
        <v>35</v>
      </c>
      <c r="G7" s="5" t="s">
        <v>36</v>
      </c>
      <c r="H7" s="5" t="s">
        <v>37</v>
      </c>
      <c r="I7" s="5" t="s">
        <v>38</v>
      </c>
      <c r="J7" s="5" t="s">
        <v>39</v>
      </c>
      <c r="K7" s="5" t="s">
        <v>21</v>
      </c>
      <c r="L7" s="5" t="s">
        <v>85</v>
      </c>
      <c r="M7" s="5" t="s">
        <v>89</v>
      </c>
    </row>
    <row r="8" spans="2:13" ht="409.6" x14ac:dyDescent="0.3">
      <c r="B8" s="3" t="s">
        <v>40</v>
      </c>
      <c r="C8" s="4">
        <f>DATE(2026,10,12)</f>
        <v>46307</v>
      </c>
      <c r="D8" s="5" t="s">
        <v>47</v>
      </c>
      <c r="E8" s="5" t="s">
        <v>41</v>
      </c>
      <c r="F8" s="5" t="s">
        <v>42</v>
      </c>
      <c r="G8" s="5" t="s">
        <v>43</v>
      </c>
      <c r="H8" s="5" t="s">
        <v>48</v>
      </c>
      <c r="I8" s="5" t="s">
        <v>44</v>
      </c>
      <c r="J8" s="5" t="s">
        <v>45</v>
      </c>
      <c r="K8" s="5" t="s">
        <v>46</v>
      </c>
      <c r="L8" s="5" t="s">
        <v>49</v>
      </c>
      <c r="M8" s="5" t="s">
        <v>82</v>
      </c>
    </row>
    <row r="9" spans="2:13" ht="409.6" x14ac:dyDescent="0.3">
      <c r="B9" s="3" t="s">
        <v>50</v>
      </c>
      <c r="C9" s="4">
        <f>DATE(2026,10,14)</f>
        <v>46309</v>
      </c>
      <c r="D9" s="5" t="s">
        <v>54</v>
      </c>
      <c r="E9" s="5" t="s">
        <v>55</v>
      </c>
      <c r="F9" s="5" t="s">
        <v>56</v>
      </c>
      <c r="G9" s="5" t="s">
        <v>57</v>
      </c>
      <c r="H9" s="5" t="s">
        <v>58</v>
      </c>
      <c r="I9" s="5" t="s">
        <v>59</v>
      </c>
      <c r="J9" s="5" t="s">
        <v>60</v>
      </c>
      <c r="K9" s="5" t="s">
        <v>46</v>
      </c>
      <c r="L9" s="5" t="s">
        <v>86</v>
      </c>
      <c r="M9" s="5" t="s">
        <v>90</v>
      </c>
    </row>
    <row r="10" spans="2:13" ht="237.6" x14ac:dyDescent="0.3">
      <c r="B10" s="3" t="s">
        <v>51</v>
      </c>
      <c r="C10" s="4">
        <f>DATE(2026,10,15)</f>
        <v>46310</v>
      </c>
      <c r="D10" s="5" t="s">
        <v>61</v>
      </c>
      <c r="E10" s="5" t="s">
        <v>62</v>
      </c>
      <c r="F10" s="5" t="s">
        <v>63</v>
      </c>
      <c r="G10" s="5" t="s">
        <v>64</v>
      </c>
      <c r="H10" s="5" t="s">
        <v>65</v>
      </c>
      <c r="I10" s="5" t="s">
        <v>66</v>
      </c>
      <c r="J10" s="5" t="s">
        <v>67</v>
      </c>
      <c r="K10" s="5" t="s">
        <v>46</v>
      </c>
      <c r="L10" s="5" t="s">
        <v>87</v>
      </c>
      <c r="M10" s="5" t="s">
        <v>91</v>
      </c>
    </row>
    <row r="11" spans="2:13" ht="250.8" x14ac:dyDescent="0.3">
      <c r="B11" s="3" t="s">
        <v>52</v>
      </c>
      <c r="C11" s="4">
        <f t="shared" ref="C11" si="0">DATE(2026,10,15)</f>
        <v>46310</v>
      </c>
      <c r="D11" s="5" t="s">
        <v>68</v>
      </c>
      <c r="E11" s="5" t="s">
        <v>83</v>
      </c>
      <c r="F11" s="5" t="s">
        <v>69</v>
      </c>
      <c r="G11" s="5" t="s">
        <v>70</v>
      </c>
      <c r="H11" s="5" t="s">
        <v>71</v>
      </c>
      <c r="I11" s="5" t="s">
        <v>72</v>
      </c>
      <c r="J11" s="5" t="s">
        <v>73</v>
      </c>
      <c r="K11" s="5" t="s">
        <v>81</v>
      </c>
      <c r="L11" s="5" t="s">
        <v>94</v>
      </c>
      <c r="M11" s="5" t="s">
        <v>92</v>
      </c>
    </row>
    <row r="12" spans="2:13" ht="409.6" x14ac:dyDescent="0.3">
      <c r="B12" s="3" t="s">
        <v>53</v>
      </c>
      <c r="C12" s="4">
        <f>DATE(2026,10,15)</f>
        <v>46310</v>
      </c>
      <c r="D12" s="5" t="s">
        <v>74</v>
      </c>
      <c r="E12" s="5" t="s">
        <v>75</v>
      </c>
      <c r="F12" s="5" t="s">
        <v>76</v>
      </c>
      <c r="G12" s="5" t="s">
        <v>77</v>
      </c>
      <c r="H12" s="5" t="s">
        <v>78</v>
      </c>
      <c r="I12" s="5" t="s">
        <v>79</v>
      </c>
      <c r="J12" s="5" t="s">
        <v>80</v>
      </c>
      <c r="K12" s="5" t="s">
        <v>81</v>
      </c>
      <c r="L12" s="5" t="s">
        <v>95</v>
      </c>
      <c r="M12" s="5" t="s">
        <v>96</v>
      </c>
    </row>
  </sheetData>
  <autoFilter ref="B4:M12" xr:uid="{00000000-0001-0000-0000-000000000000}"/>
  <mergeCells count="1">
    <mergeCell ref="B2:G2"/>
  </mergeCells>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Technical Debt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dcterms:created xsi:type="dcterms:W3CDTF">2026-10-11T15:22:00Z</dcterms:created>
  <dcterms:modified xsi:type="dcterms:W3CDTF">2026-10-18T13:16:26Z</dcterms:modified>
</cp:coreProperties>
</file>