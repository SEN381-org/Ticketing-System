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c906530d9ff38bc/Desktop/SEN381/Ticketing-System/docs/Requirements/Scope Baseline/"/>
    </mc:Choice>
  </mc:AlternateContent>
  <xr:revisionPtr revIDLastSave="46" documentId="8_{A97EEBFC-150E-4EB3-B19B-67290A17D8A9}" xr6:coauthVersionLast="47" xr6:coauthVersionMax="47" xr10:uidLastSave="{21DDE953-E860-4CF3-84EC-4548EB291C91}"/>
  <bookViews>
    <workbookView xWindow="-96" yWindow="0" windowWidth="15552" windowHeight="17376" xr2:uid="{692520EF-F46F-4B4C-9EE5-ED1995D560B8}"/>
  </bookViews>
  <sheets>
    <sheet name="Scope Baselin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8" i="1" l="1"/>
  <c r="M7" i="1"/>
  <c r="M6" i="1"/>
  <c r="M5" i="1"/>
</calcChain>
</file>

<file path=xl/sharedStrings.xml><?xml version="1.0" encoding="utf-8"?>
<sst xmlns="http://schemas.openxmlformats.org/spreadsheetml/2006/main" count="165" uniqueCount="106">
  <si>
    <t>Scope Baseline</t>
  </si>
  <si>
    <t>Capabilities classified in scope, deferred or out of scope for the M1 baseline, with justification and source</t>
  </si>
  <si>
    <t>ID</t>
  </si>
  <si>
    <t>Item / capability</t>
  </si>
  <si>
    <t>Classification</t>
  </si>
  <si>
    <t>Justification</t>
  </si>
  <si>
    <t>Source</t>
  </si>
  <si>
    <t>Defend in presentation?</t>
  </si>
  <si>
    <t>SCP-001</t>
  </si>
  <si>
    <t>Submit a service request with category, location and description</t>
  </si>
  <si>
    <t>IN SCOPE</t>
  </si>
  <si>
    <t>Minimum requester capability required by the Master Brief; the core of the business need</t>
  </si>
  <si>
    <t>Master Brief s.3, STK-001</t>
  </si>
  <si>
    <t>No</t>
  </si>
  <si>
    <t>SCP-002</t>
  </si>
  <si>
    <t>Controlled category mechanism</t>
  </si>
  <si>
    <t>Required capability; reporting in SCP-011 and triage in SCP-006 both depend on controlled categories rather than free text</t>
  </si>
  <si>
    <t>Master Brief s.3, STK-004, STK-005</t>
  </si>
  <si>
    <t>SCP-003</t>
  </si>
  <si>
    <t>View status and history of own requests</t>
  </si>
  <si>
    <t>Directly addresses the visibility problem identified in the scenario</t>
  </si>
  <si>
    <t>SCP-004</t>
  </si>
  <si>
    <t>Feedback when a request is accepted, rejected, updated or completed</t>
  </si>
  <si>
    <t>Required capability; delivered as in-application feedback only (see SCP-014 for notifications)</t>
  </si>
  <si>
    <t>SCP-005</t>
  </si>
  <si>
    <t>Staff view of requests relevant to their authorisation</t>
  </si>
  <si>
    <t>Required staff capability and the point at which authorisation becomes functional rather than administrative</t>
  </si>
  <si>
    <t>Master Brief s.3, STK-002, STK-003</t>
  </si>
  <si>
    <t>SCP-006</t>
  </si>
  <si>
    <t>Search, filter and sort requests</t>
  </si>
  <si>
    <t>Required staff capability; addresses the prioritisation difficulty described in the scenario</t>
  </si>
  <si>
    <t>Master Brief s.3, STK-004</t>
  </si>
  <si>
    <t>SCP-007</t>
  </si>
  <si>
    <t>Assign or accept responsibility for a request</t>
  </si>
  <si>
    <t>Required staff capability; implements the assignment model agreed in CFL-003</t>
  </si>
  <si>
    <t>Master Brief s.3, CFL-003</t>
  </si>
  <si>
    <t>SCP-008</t>
  </si>
  <si>
    <t>Controlled status transitions with recorded acting user</t>
  </si>
  <si>
    <t>Required staff capability; the recorded actor is what supplies the accountability the current process lacks</t>
  </si>
  <si>
    <t>Master Brief s.3, s.2, STK-005</t>
  </si>
  <si>
    <t>SCP-009</t>
  </si>
  <si>
    <t>Record actions, comments and resolution information</t>
  </si>
  <si>
    <t>Required staff capability; creates the single controlled lifecycle record the scenario identifies as missing</t>
  </si>
  <si>
    <t>Master Brief s.3</t>
  </si>
  <si>
    <t>SCP-010</t>
  </si>
  <si>
    <t>Resolve or close requests where authorised</t>
  </si>
  <si>
    <t>Required staff capability</t>
  </si>
  <si>
    <t>SCP-011</t>
  </si>
  <si>
    <t>Management view of open, overdue, resolved and closed requests by category and status</t>
  </si>
  <si>
    <t>Required management capability; the reporting need behind CFL-001</t>
  </si>
  <si>
    <t>Master Brief s.3, STK-005</t>
  </si>
  <si>
    <t>SCP-012</t>
  </si>
  <si>
    <t>Authentication and role-based access control</t>
  </si>
  <si>
    <t>Not listed as a business capability but made necessary by the CFL-002 resolution and CON-006; without it the restricted handling of security requests cannot be delivered</t>
  </si>
  <si>
    <t>CFL-002, CON-006, STK-007</t>
  </si>
  <si>
    <t>Yes</t>
  </si>
  <si>
    <t>SCP-013</t>
  </si>
  <si>
    <t>Native mobile application</t>
  </si>
  <si>
    <t>OUT OF SCOPE</t>
  </si>
  <si>
    <t>A responsive web interface satisfies the stated access need within CON-002 and CON-004. A native build adds a second toolchain, store release process and test matrix with no additional evidenced stakeholder benefit at M1.</t>
  </si>
  <si>
    <t>CON-002, CON-004</t>
  </si>
  <si>
    <t>SCP-014</t>
  </si>
  <si>
    <t>Email or push notification of status changes</t>
  </si>
  <si>
    <t>DEFERRED</t>
  </si>
  <si>
    <t>Valuable to STK-001 but depends on a delivery service whose cost and free-tier limits are unknown until the platform decision in M2. In-application feedback (SCP-004) meets the minimum capability in the interim.</t>
  </si>
  <si>
    <t>SCP-015</t>
  </si>
  <si>
    <t>Photograph attachments on a request</t>
  </si>
  <si>
    <t>Would materially improve fault triage, but introduces file storage cost, malware scanning and additional personal-information handling under CON-007. Deferred pending the platform and retention decisions.</t>
  </si>
  <si>
    <t>SCP-016</t>
  </si>
  <si>
    <t>Integration with existing campus systems (student records, HR, asset register)</t>
  </si>
  <si>
    <t>No evidence is currently available that institutional APIs exist or would be made accessible to a student project. Committing to an integration the team cannot verify would create unmanageable dependency risk.</t>
  </si>
  <si>
    <t>CON-008, CON-002</t>
  </si>
  <si>
    <t>SCP-017</t>
  </si>
  <si>
    <t>Ingestion of requests from existing email, telephone or WhatsApp channels</t>
  </si>
  <si>
    <t>The business need is to replace fragmented channels with a single controlled record, not to federate them. Ingestion would preserve the duplication the platform exists to remove.</t>
  </si>
  <si>
    <t>Master Brief s.2, s.2.1</t>
  </si>
  <si>
    <t>SCP-018</t>
  </si>
  <si>
    <t>Technician scheduling, rostering or workload balancing</t>
  </si>
  <si>
    <t>Not a stated capability and not raised by any identified stakeholder; would substantially expand the domain model under a fixed schedule</t>
  </si>
  <si>
    <t>CON-001, CON-002</t>
  </si>
  <si>
    <t>SCP-019</t>
  </si>
  <si>
    <t>Multi-campus or multi-tenant operation</t>
  </si>
  <si>
    <t>Single-campus operation satisfies the current stakeholders. Recorded as deferred rather than excluded so that the M2 data model does not foreclose it unnecessarily.</t>
  </si>
  <si>
    <t>CON-002</t>
  </si>
  <si>
    <t>SCP-020</t>
  </si>
  <si>
    <t>Automated enforcement of the data retention period</t>
  </si>
  <si>
    <t>The retention period itself is undecided (DEC-005). Automating enforcement before the rule exists would encode an unverified assumption.</t>
  </si>
  <si>
    <t>Baseline summary</t>
  </si>
  <si>
    <t>In scope</t>
  </si>
  <si>
    <t>Deferred</t>
  </si>
  <si>
    <t>Out of scope</t>
  </si>
  <si>
    <t>Total items</t>
  </si>
  <si>
    <t>SCP-021</t>
  </si>
  <si>
    <t>Project charter, work breakdown structure and project timeline</t>
  </si>
  <si>
    <t>Directed by the client (lecturer) on 09/09/2026. The WBS also supplies the activity decomposition that the PERT estimation in CON-009 requires, so it is a dependency of the effort estimate rather than only a planning document.</t>
  </si>
  <si>
    <t>Lecturer instruction, verbal, 09/09/2026; CON-009</t>
  </si>
  <si>
    <t>Type</t>
  </si>
  <si>
    <t>PRODUCT</t>
  </si>
  <si>
    <t>PROJECT</t>
  </si>
  <si>
    <t>Revised at M2. The original basis no longer applies: DEC-003 has closed, so the platform cost and free-tier position is known. The item remains deferred on a different ground. An email or push delivery service is a dependency separate from the hosting decision, carries its own cost and configuration under CON-003, and would add a third external provider alongside the application host and the managed database service, increasing the dependency surface under CON-008. The capacity position recorded as condition C-05 is also unresolved. In-application feedback under SCP-004 continues to meet the minimum capability required by the Master Brief, so no committed capability is lost by the deferment.</t>
  </si>
  <si>
    <t>CON-003, CON-008, DEC-003, condition C-05</t>
  </si>
  <si>
    <t>Preserved from v1.0</t>
  </si>
  <si>
    <t>Revised at M2. Both decisions the original basis waited on have closed: DEC-003 fixes the platform and DEC-005 fixes the retention period. The item remains deferred because the obligations it introduces are unaddressed rather than unknown. File storage carries cost against the selected plan and does not belong in the document store, whose free tier is limited to 0.5 GB. Malware scanning of uploaded files remains an unmet security obligation under CON-019. An attachment is personal information under CON-007, so it falls within the one-month retention rule set by DEC-005 and would extend what must be deleted and evidenced as deleted. Fault triage continues to rely on the description field under SCP-001.</t>
  </si>
  <si>
    <t>CON-003, CON-007, CON-019, DEC-003, DEC-005</t>
  </si>
  <si>
    <t>Revised at M2. The original basis no longer holds: DEC-005 has closed and the retention period is set at one month, so the rule now exists. Automated enforcement is nevertheless a capability distinct from the rule, requiring a scheduled deletion mechanism, a position on what survives deletion so that SCP-011 reporting is preserved, and evidence that deletion occurred. It remains deferred. Because NFR-4.2 now states a period that nothing yet enforces, the constraint is met in the interim by a recorded manual procedure: identifiable data older than one month is removed on a stated schedule by a named owner, and each removal is recorded. CON-007 obliges the team not to retain personal information longer than necessary; it does not require that the removal be automated. The manual procedure is the interim control and automation is the deferred capability.</t>
  </si>
  <si>
    <t>CFL-004, CON-007, DEC-005, NFR-4.2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</si>
</sst>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b/>
      <sz val="20"/>
      <color rgb="FF0F4761"/>
      <name val="Aptos Narrow"/>
      <family val="2"/>
      <scheme val="minor"/>
    </font>
    <font>
      <i/>
      <sz val="11"/>
      <color rgb="FF595959"/>
      <name val="Aptos Narrow"/>
      <family val="2"/>
      <scheme val="minor"/>
    </font>
    <font>
      <b/>
      <sz val="11"/>
      <color rgb="FFFFFFFF"/>
      <name val="Aptos Narrow"/>
      <family val="2"/>
      <scheme val="minor"/>
    </font>
    <font>
      <b/>
      <sz val="10.5"/>
      <color rgb="FF000000"/>
      <name val="Aptos Narrow"/>
      <family val="2"/>
      <scheme val="minor"/>
    </font>
    <font>
      <sz val="10.5"/>
      <color rgb="FF000000"/>
      <name val="Aptos Narrow"/>
      <family val="2"/>
      <scheme val="minor"/>
    </font>
    <font>
      <sz val="10.5"/>
      <color rgb="FF1F6F8C"/>
      <name val="Aptos Narrow"/>
      <family val="2"/>
      <scheme val="minor"/>
    </font>
    <font>
      <b/>
      <sz val="12"/>
      <color rgb="FF0F4761"/>
      <name val="Aptos Narrow"/>
      <family val="2"/>
      <scheme val="minor"/>
    </font>
    <font>
      <sz val="8"/>
      <name val="Aptos Narrow"/>
      <family val="2"/>
      <scheme val="minor"/>
    </font>
    <font>
      <b/>
      <sz val="10.5"/>
      <color theme="5" tint="-0.249977111117893"/>
      <name val="Aptos Narrow"/>
      <family val="2"/>
      <scheme val="minor"/>
    </font>
    <font>
      <b/>
      <sz val="10.5"/>
      <color theme="8" tint="-0.249977111117893"/>
      <name val="Aptos Narrow"/>
      <family val="2"/>
      <scheme val="minor"/>
    </font>
  </fonts>
  <fills count="7">
    <fill>
      <patternFill patternType="none"/>
    </fill>
    <fill>
      <patternFill patternType="gray125"/>
    </fill>
    <fill>
      <patternFill patternType="solid">
        <fgColor rgb="FF0F4761"/>
        <bgColor indexed="64"/>
      </patternFill>
    </fill>
    <fill>
      <patternFill patternType="solid">
        <fgColor rgb="FFEAF3F8"/>
        <bgColor indexed="64"/>
      </patternFill>
    </fill>
    <fill>
      <patternFill patternType="solid">
        <fgColor rgb="FFCDE7F3"/>
        <bgColor indexed="64"/>
      </patternFill>
    </fill>
    <fill>
      <patternFill patternType="solid">
        <fgColor theme="5" tint="0.59999389629810485"/>
        <bgColor indexed="64"/>
      </patternFill>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4" fillId="2" borderId="1" xfId="0" applyFont="1" applyFill="1" applyBorder="1" applyAlignment="1">
      <alignment horizontal="left" vertical="center" wrapText="1" indent="1"/>
    </xf>
    <xf numFmtId="0" fontId="4" fillId="2" borderId="1" xfId="0" applyFont="1" applyFill="1" applyBorder="1" applyAlignment="1">
      <alignment horizontal="center" vertical="center" wrapText="1" indent="1"/>
    </xf>
    <xf numFmtId="0" fontId="5" fillId="0" borderId="1" xfId="0" applyFont="1" applyBorder="1" applyAlignment="1">
      <alignment vertical="center" wrapText="1" indent="1"/>
    </xf>
    <xf numFmtId="0" fontId="6" fillId="0" borderId="1" xfId="0" applyFont="1" applyBorder="1" applyAlignment="1">
      <alignment vertical="center" wrapText="1" indent="1"/>
    </xf>
    <xf numFmtId="0" fontId="5" fillId="0" borderId="1" xfId="0" applyFont="1" applyBorder="1" applyAlignment="1">
      <alignment horizontal="center" vertical="center" wrapText="1"/>
    </xf>
    <xf numFmtId="0" fontId="7" fillId="0" borderId="1" xfId="0" applyFont="1" applyBorder="1" applyAlignment="1">
      <alignment vertical="center" wrapText="1" indent="1"/>
    </xf>
    <xf numFmtId="0" fontId="6" fillId="0" borderId="1" xfId="0" applyFont="1" applyBorder="1" applyAlignment="1">
      <alignment horizontal="center" vertical="center" wrapText="1"/>
    </xf>
    <xf numFmtId="0" fontId="5" fillId="3" borderId="1" xfId="0" applyFont="1" applyFill="1" applyBorder="1" applyAlignment="1">
      <alignment vertical="center" wrapText="1" indent="1"/>
    </xf>
    <xf numFmtId="0" fontId="6" fillId="3" borderId="1" xfId="0" applyFont="1" applyFill="1" applyBorder="1" applyAlignment="1">
      <alignment vertical="center" wrapText="1" indent="1"/>
    </xf>
    <xf numFmtId="0" fontId="5" fillId="3" borderId="1" xfId="0" applyFont="1" applyFill="1" applyBorder="1" applyAlignment="1">
      <alignment horizontal="center" vertical="center" wrapText="1"/>
    </xf>
    <xf numFmtId="0" fontId="7" fillId="3" borderId="1" xfId="0" applyFont="1" applyFill="1" applyBorder="1" applyAlignment="1">
      <alignment vertical="center" wrapText="1" indent="1"/>
    </xf>
    <xf numFmtId="0" fontId="6" fillId="3" borderId="1" xfId="0" applyFont="1" applyFill="1" applyBorder="1" applyAlignment="1">
      <alignment horizontal="center" vertical="center" wrapText="1"/>
    </xf>
    <xf numFmtId="0" fontId="0" fillId="3" borderId="1" xfId="0" applyFill="1" applyBorder="1" applyAlignment="1">
      <alignment indent="1"/>
    </xf>
    <xf numFmtId="0" fontId="1" fillId="3" borderId="1" xfId="0" applyFont="1" applyFill="1" applyBorder="1" applyAlignment="1">
      <alignment horizontal="center"/>
    </xf>
    <xf numFmtId="0" fontId="1" fillId="4" borderId="1" xfId="0" applyFont="1" applyFill="1" applyBorder="1" applyAlignment="1">
      <alignment indent="1"/>
    </xf>
    <xf numFmtId="0" fontId="1" fillId="4" borderId="1" xfId="0" applyFont="1" applyFill="1" applyBorder="1" applyAlignment="1">
      <alignment horizontal="center"/>
    </xf>
    <xf numFmtId="0" fontId="6" fillId="0" borderId="1" xfId="0" applyFont="1" applyBorder="1" applyAlignment="1">
      <alignment vertical="center" wrapText="1"/>
    </xf>
    <xf numFmtId="0" fontId="10" fillId="5"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2" fillId="0" borderId="0" xfId="0" applyFont="1" applyAlignment="1">
      <alignment vertical="center"/>
    </xf>
    <xf numFmtId="0" fontId="0" fillId="0" borderId="0" xfId="0" applyAlignment="1">
      <alignment vertical="center"/>
    </xf>
    <xf numFmtId="0" fontId="3" fillId="0" borderId="0" xfId="0" applyFont="1" applyAlignment="1">
      <alignment vertical="center"/>
    </xf>
    <xf numFmtId="0" fontId="8" fillId="0" borderId="2" xfId="0" applyFont="1" applyBorder="1" applyAlignment="1">
      <alignment horizontal="center"/>
    </xf>
    <xf numFmtId="0" fontId="8" fillId="0" borderId="3" xfId="0" applyFont="1" applyBorder="1" applyAlignment="1">
      <alignment horizontal="center"/>
    </xf>
  </cellXfs>
  <cellStyles count="1">
    <cellStyle name="Normal" xfId="0" builtinId="0"/>
  </cellStyles>
  <dxfs count="6">
    <dxf>
      <font>
        <b/>
        <i val="0"/>
        <color rgb="FF0F4761"/>
      </font>
      <fill>
        <patternFill patternType="solid">
          <fgColor indexed="64"/>
          <bgColor rgb="FFCDE7F3"/>
        </patternFill>
      </fill>
    </dxf>
    <dxf>
      <font>
        <b/>
        <i val="0"/>
        <color rgb="FF0F4761"/>
      </font>
      <fill>
        <patternFill patternType="solid">
          <fgColor indexed="64"/>
          <bgColor rgb="FFCDE7F3"/>
        </patternFill>
      </fill>
    </dxf>
    <dxf>
      <font>
        <b/>
        <i val="0"/>
        <color rgb="FF0F4761"/>
      </font>
      <fill>
        <patternFill patternType="solid">
          <fgColor indexed="64"/>
          <bgColor rgb="FFCDE7F3"/>
        </patternFill>
      </fill>
    </dxf>
    <dxf>
      <font>
        <b/>
        <i val="0"/>
        <color rgb="FF7A3E00"/>
      </font>
      <fill>
        <patternFill patternType="solid">
          <fgColor indexed="64"/>
          <bgColor rgb="FFFFF3D6"/>
        </patternFill>
      </fill>
    </dxf>
    <dxf>
      <font>
        <b/>
        <i val="0"/>
        <color rgb="FF1E6B2C"/>
      </font>
      <fill>
        <patternFill patternType="solid">
          <fgColor indexed="64"/>
          <bgColor rgb="FFE2F0E4"/>
        </patternFill>
      </fill>
    </dxf>
    <dxf>
      <font>
        <b/>
        <i val="0"/>
        <color rgb="FFA61B1B"/>
      </font>
      <fill>
        <patternFill patternType="solid">
          <fgColor indexed="64"/>
          <bgColor rgb="FFFBE3E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EAD61-01CF-4EE9-97DC-EF3173C077C3}">
  <dimension ref="B1:M30"/>
  <sheetViews>
    <sheetView tabSelected="1" topLeftCell="A16" zoomScale="70" zoomScaleNormal="70" workbookViewId="0">
      <selection activeCell="F28" sqref="F28"/>
    </sheetView>
  </sheetViews>
  <sheetFormatPr defaultRowHeight="14.4" x14ac:dyDescent="0.3"/>
  <cols>
    <col min="1" max="1" width="2.21875" customWidth="1"/>
    <col min="2" max="3" width="13" customWidth="1"/>
    <col min="4" max="4" width="39.77734375" customWidth="1"/>
    <col min="5" max="5" width="20.33203125" customWidth="1"/>
    <col min="6" max="6" width="63" customWidth="1"/>
    <col min="7" max="8" width="27.77734375" customWidth="1"/>
    <col min="9" max="9" width="17.5546875" customWidth="1"/>
    <col min="11" max="11" width="8.88671875" customWidth="1"/>
    <col min="12" max="12" width="13.33203125" customWidth="1"/>
    <col min="13" max="13" width="29.21875" customWidth="1"/>
  </cols>
  <sheetData>
    <row r="1" spans="2:13" ht="25.8" x14ac:dyDescent="0.3">
      <c r="B1" s="20" t="s">
        <v>0</v>
      </c>
      <c r="C1" s="20"/>
      <c r="D1" s="21"/>
      <c r="E1" s="21"/>
      <c r="F1" s="21"/>
      <c r="G1" s="21"/>
      <c r="H1" s="21"/>
      <c r="I1" s="21"/>
    </row>
    <row r="2" spans="2:13" x14ac:dyDescent="0.3">
      <c r="B2" s="22" t="s">
        <v>1</v>
      </c>
      <c r="C2" s="22"/>
      <c r="D2" s="21"/>
      <c r="E2" s="21"/>
      <c r="F2" s="21"/>
      <c r="G2" s="21"/>
      <c r="H2" s="21"/>
      <c r="I2" s="21"/>
    </row>
    <row r="4" spans="2:13" ht="28.8" x14ac:dyDescent="0.3">
      <c r="B4" s="1" t="s">
        <v>2</v>
      </c>
      <c r="C4" s="1" t="s">
        <v>96</v>
      </c>
      <c r="D4" s="1" t="s">
        <v>3</v>
      </c>
      <c r="E4" s="2" t="s">
        <v>4</v>
      </c>
      <c r="F4" s="1" t="s">
        <v>5</v>
      </c>
      <c r="G4" s="1" t="s">
        <v>6</v>
      </c>
      <c r="H4" s="2" t="s">
        <v>7</v>
      </c>
      <c r="I4" s="2" t="s">
        <v>101</v>
      </c>
      <c r="L4" s="23" t="s">
        <v>87</v>
      </c>
      <c r="M4" s="24"/>
    </row>
    <row r="5" spans="2:13" ht="28.8" x14ac:dyDescent="0.3">
      <c r="B5" s="3" t="s">
        <v>8</v>
      </c>
      <c r="C5" s="18" t="s">
        <v>97</v>
      </c>
      <c r="D5" s="4" t="s">
        <v>9</v>
      </c>
      <c r="E5" s="5" t="s">
        <v>10</v>
      </c>
      <c r="F5" s="4" t="s">
        <v>11</v>
      </c>
      <c r="G5" s="6" t="s">
        <v>12</v>
      </c>
      <c r="H5" s="7" t="s">
        <v>13</v>
      </c>
      <c r="I5" s="7"/>
      <c r="L5" s="13" t="s">
        <v>88</v>
      </c>
      <c r="M5" s="14">
        <f>COUNTIF($E$5:$E$25,"IN SCOPE")</f>
        <v>13</v>
      </c>
    </row>
    <row r="6" spans="2:13" ht="28.8" x14ac:dyDescent="0.3">
      <c r="B6" s="8" t="s">
        <v>14</v>
      </c>
      <c r="C6" s="18" t="s">
        <v>97</v>
      </c>
      <c r="D6" s="9" t="s">
        <v>15</v>
      </c>
      <c r="E6" s="10" t="s">
        <v>10</v>
      </c>
      <c r="F6" s="9" t="s">
        <v>16</v>
      </c>
      <c r="G6" s="11" t="s">
        <v>17</v>
      </c>
      <c r="H6" s="12" t="s">
        <v>13</v>
      </c>
      <c r="I6" s="12"/>
      <c r="L6" s="13" t="s">
        <v>89</v>
      </c>
      <c r="M6" s="14">
        <f>COUNTIF($E$5:$E$25,"DEFERRED")</f>
        <v>4</v>
      </c>
    </row>
    <row r="7" spans="2:13" x14ac:dyDescent="0.3">
      <c r="B7" s="3" t="s">
        <v>18</v>
      </c>
      <c r="C7" s="18" t="s">
        <v>97</v>
      </c>
      <c r="D7" s="4" t="s">
        <v>19</v>
      </c>
      <c r="E7" s="5" t="s">
        <v>10</v>
      </c>
      <c r="F7" s="4" t="s">
        <v>20</v>
      </c>
      <c r="G7" s="6" t="s">
        <v>12</v>
      </c>
      <c r="H7" s="7" t="s">
        <v>13</v>
      </c>
      <c r="I7" s="7"/>
      <c r="L7" s="13" t="s">
        <v>90</v>
      </c>
      <c r="M7" s="14">
        <f>COUNTIF($E$5:$E$25,"OUT OF SCOPE")</f>
        <v>4</v>
      </c>
    </row>
    <row r="8" spans="2:13" ht="28.8" x14ac:dyDescent="0.3">
      <c r="B8" s="8" t="s">
        <v>21</v>
      </c>
      <c r="C8" s="18" t="s">
        <v>97</v>
      </c>
      <c r="D8" s="9" t="s">
        <v>22</v>
      </c>
      <c r="E8" s="10" t="s">
        <v>10</v>
      </c>
      <c r="F8" s="9" t="s">
        <v>23</v>
      </c>
      <c r="G8" s="11" t="s">
        <v>12</v>
      </c>
      <c r="H8" s="12" t="s">
        <v>13</v>
      </c>
      <c r="I8" s="12"/>
      <c r="L8" s="15" t="s">
        <v>91</v>
      </c>
      <c r="M8" s="16">
        <f>COUNTA($B$5:$B$25)</f>
        <v>21</v>
      </c>
    </row>
    <row r="9" spans="2:13" ht="28.8" x14ac:dyDescent="0.3">
      <c r="B9" s="3" t="s">
        <v>24</v>
      </c>
      <c r="C9" s="18" t="s">
        <v>97</v>
      </c>
      <c r="D9" s="4" t="s">
        <v>25</v>
      </c>
      <c r="E9" s="5" t="s">
        <v>10</v>
      </c>
      <c r="F9" s="4" t="s">
        <v>26</v>
      </c>
      <c r="G9" s="6" t="s">
        <v>27</v>
      </c>
      <c r="H9" s="7" t="s">
        <v>13</v>
      </c>
      <c r="I9" s="7"/>
    </row>
    <row r="10" spans="2:13" ht="28.8" x14ac:dyDescent="0.3">
      <c r="B10" s="8" t="s">
        <v>28</v>
      </c>
      <c r="C10" s="18" t="s">
        <v>97</v>
      </c>
      <c r="D10" s="9" t="s">
        <v>29</v>
      </c>
      <c r="E10" s="10" t="s">
        <v>10</v>
      </c>
      <c r="F10" s="9" t="s">
        <v>30</v>
      </c>
      <c r="G10" s="11" t="s">
        <v>31</v>
      </c>
      <c r="H10" s="12" t="s">
        <v>13</v>
      </c>
      <c r="I10" s="12"/>
    </row>
    <row r="11" spans="2:13" ht="28.8" x14ac:dyDescent="0.3">
      <c r="B11" s="3" t="s">
        <v>32</v>
      </c>
      <c r="C11" s="18" t="s">
        <v>97</v>
      </c>
      <c r="D11" s="4" t="s">
        <v>33</v>
      </c>
      <c r="E11" s="5" t="s">
        <v>10</v>
      </c>
      <c r="F11" s="4" t="s">
        <v>34</v>
      </c>
      <c r="G11" s="6" t="s">
        <v>35</v>
      </c>
      <c r="H11" s="7" t="s">
        <v>13</v>
      </c>
      <c r="I11" s="7"/>
    </row>
    <row r="12" spans="2:13" ht="28.8" x14ac:dyDescent="0.3">
      <c r="B12" s="8" t="s">
        <v>36</v>
      </c>
      <c r="C12" s="18" t="s">
        <v>97</v>
      </c>
      <c r="D12" s="9" t="s">
        <v>37</v>
      </c>
      <c r="E12" s="10" t="s">
        <v>10</v>
      </c>
      <c r="F12" s="9" t="s">
        <v>38</v>
      </c>
      <c r="G12" s="11" t="s">
        <v>39</v>
      </c>
      <c r="H12" s="12" t="s">
        <v>13</v>
      </c>
      <c r="I12" s="12"/>
    </row>
    <row r="13" spans="2:13" ht="28.8" x14ac:dyDescent="0.3">
      <c r="B13" s="3" t="s">
        <v>40</v>
      </c>
      <c r="C13" s="18" t="s">
        <v>97</v>
      </c>
      <c r="D13" s="4" t="s">
        <v>41</v>
      </c>
      <c r="E13" s="5" t="s">
        <v>10</v>
      </c>
      <c r="F13" s="4" t="s">
        <v>42</v>
      </c>
      <c r="G13" s="6" t="s">
        <v>43</v>
      </c>
      <c r="H13" s="7" t="s">
        <v>13</v>
      </c>
      <c r="I13" s="7"/>
    </row>
    <row r="14" spans="2:13" x14ac:dyDescent="0.3">
      <c r="B14" s="8" t="s">
        <v>44</v>
      </c>
      <c r="C14" s="18" t="s">
        <v>97</v>
      </c>
      <c r="D14" s="9" t="s">
        <v>45</v>
      </c>
      <c r="E14" s="10" t="s">
        <v>10</v>
      </c>
      <c r="F14" s="9" t="s">
        <v>46</v>
      </c>
      <c r="G14" s="11" t="s">
        <v>43</v>
      </c>
      <c r="H14" s="12" t="s">
        <v>13</v>
      </c>
      <c r="I14" s="12"/>
    </row>
    <row r="15" spans="2:13" ht="28.8" x14ac:dyDescent="0.3">
      <c r="B15" s="3" t="s">
        <v>47</v>
      </c>
      <c r="C15" s="18" t="s">
        <v>97</v>
      </c>
      <c r="D15" s="4" t="s">
        <v>48</v>
      </c>
      <c r="E15" s="5" t="s">
        <v>10</v>
      </c>
      <c r="F15" s="4" t="s">
        <v>49</v>
      </c>
      <c r="G15" s="6" t="s">
        <v>50</v>
      </c>
      <c r="H15" s="7" t="s">
        <v>13</v>
      </c>
      <c r="I15" s="7"/>
    </row>
    <row r="16" spans="2:13" ht="43.2" x14ac:dyDescent="0.3">
      <c r="B16" s="8" t="s">
        <v>51</v>
      </c>
      <c r="C16" s="18" t="s">
        <v>97</v>
      </c>
      <c r="D16" s="9" t="s">
        <v>52</v>
      </c>
      <c r="E16" s="10" t="s">
        <v>10</v>
      </c>
      <c r="F16" s="9" t="s">
        <v>53</v>
      </c>
      <c r="G16" s="11" t="s">
        <v>54</v>
      </c>
      <c r="H16" s="12" t="s">
        <v>55</v>
      </c>
      <c r="I16" s="12"/>
    </row>
    <row r="17" spans="2:9" ht="57.6" x14ac:dyDescent="0.3">
      <c r="B17" s="3" t="s">
        <v>56</v>
      </c>
      <c r="C17" s="18" t="s">
        <v>97</v>
      </c>
      <c r="D17" s="4" t="s">
        <v>57</v>
      </c>
      <c r="E17" s="5" t="s">
        <v>58</v>
      </c>
      <c r="F17" s="4" t="s">
        <v>59</v>
      </c>
      <c r="G17" s="6" t="s">
        <v>60</v>
      </c>
      <c r="H17" s="7" t="s">
        <v>55</v>
      </c>
      <c r="I17" s="7"/>
    </row>
    <row r="18" spans="2:9" ht="172.8" x14ac:dyDescent="0.3">
      <c r="B18" s="8" t="s">
        <v>61</v>
      </c>
      <c r="C18" s="18" t="s">
        <v>97</v>
      </c>
      <c r="D18" s="9" t="s">
        <v>62</v>
      </c>
      <c r="E18" s="10" t="s">
        <v>63</v>
      </c>
      <c r="F18" s="9" t="s">
        <v>99</v>
      </c>
      <c r="G18" s="11" t="s">
        <v>100</v>
      </c>
      <c r="H18" s="12" t="s">
        <v>13</v>
      </c>
      <c r="I18" s="12" t="s">
        <v>64</v>
      </c>
    </row>
    <row r="19" spans="2:9" ht="144" x14ac:dyDescent="0.3">
      <c r="B19" s="3" t="s">
        <v>65</v>
      </c>
      <c r="C19" s="18" t="s">
        <v>97</v>
      </c>
      <c r="D19" s="4" t="s">
        <v>66</v>
      </c>
      <c r="E19" s="5" t="s">
        <v>63</v>
      </c>
      <c r="F19" s="4" t="s">
        <v>102</v>
      </c>
      <c r="G19" s="6" t="s">
        <v>103</v>
      </c>
      <c r="H19" s="7" t="s">
        <v>13</v>
      </c>
      <c r="I19" s="7" t="s">
        <v>67</v>
      </c>
    </row>
    <row r="20" spans="2:9" ht="43.2" x14ac:dyDescent="0.3">
      <c r="B20" s="8" t="s">
        <v>68</v>
      </c>
      <c r="C20" s="18" t="s">
        <v>97</v>
      </c>
      <c r="D20" s="9" t="s">
        <v>69</v>
      </c>
      <c r="E20" s="10" t="s">
        <v>58</v>
      </c>
      <c r="F20" s="9" t="s">
        <v>70</v>
      </c>
      <c r="G20" s="11" t="s">
        <v>71</v>
      </c>
      <c r="H20" s="12" t="s">
        <v>13</v>
      </c>
      <c r="I20" s="12"/>
    </row>
    <row r="21" spans="2:9" ht="43.2" x14ac:dyDescent="0.3">
      <c r="B21" s="3" t="s">
        <v>72</v>
      </c>
      <c r="C21" s="18" t="s">
        <v>97</v>
      </c>
      <c r="D21" s="4" t="s">
        <v>73</v>
      </c>
      <c r="E21" s="5" t="s">
        <v>58</v>
      </c>
      <c r="F21" s="4" t="s">
        <v>74</v>
      </c>
      <c r="G21" s="6" t="s">
        <v>75</v>
      </c>
      <c r="H21" s="7" t="s">
        <v>13</v>
      </c>
      <c r="I21" s="7"/>
    </row>
    <row r="22" spans="2:9" ht="28.8" x14ac:dyDescent="0.3">
      <c r="B22" s="8" t="s">
        <v>76</v>
      </c>
      <c r="C22" s="18" t="s">
        <v>97</v>
      </c>
      <c r="D22" s="9" t="s">
        <v>77</v>
      </c>
      <c r="E22" s="10" t="s">
        <v>58</v>
      </c>
      <c r="F22" s="9" t="s">
        <v>78</v>
      </c>
      <c r="G22" s="11" t="s">
        <v>79</v>
      </c>
      <c r="H22" s="12" t="s">
        <v>13</v>
      </c>
      <c r="I22" s="12"/>
    </row>
    <row r="23" spans="2:9" ht="43.2" x14ac:dyDescent="0.3">
      <c r="B23" s="3" t="s">
        <v>80</v>
      </c>
      <c r="C23" s="18" t="s">
        <v>97</v>
      </c>
      <c r="D23" s="4" t="s">
        <v>81</v>
      </c>
      <c r="E23" s="5" t="s">
        <v>63</v>
      </c>
      <c r="F23" s="4" t="s">
        <v>82</v>
      </c>
      <c r="G23" s="6" t="s">
        <v>83</v>
      </c>
      <c r="H23" s="7" t="s">
        <v>13</v>
      </c>
      <c r="I23" s="7"/>
    </row>
    <row r="24" spans="2:9" ht="172.8" x14ac:dyDescent="0.3">
      <c r="B24" s="8" t="s">
        <v>84</v>
      </c>
      <c r="C24" s="18" t="s">
        <v>97</v>
      </c>
      <c r="D24" s="9" t="s">
        <v>85</v>
      </c>
      <c r="E24" s="10" t="s">
        <v>63</v>
      </c>
      <c r="F24" s="9" t="s">
        <v>104</v>
      </c>
      <c r="G24" s="11" t="s">
        <v>105</v>
      </c>
      <c r="H24" s="12" t="s">
        <v>55</v>
      </c>
      <c r="I24" s="12" t="s">
        <v>86</v>
      </c>
    </row>
    <row r="25" spans="2:9" ht="43.2" x14ac:dyDescent="0.3">
      <c r="B25" s="3" t="s">
        <v>92</v>
      </c>
      <c r="C25" s="19" t="s">
        <v>98</v>
      </c>
      <c r="D25" s="4" t="s">
        <v>93</v>
      </c>
      <c r="E25" s="10" t="s">
        <v>10</v>
      </c>
      <c r="F25" s="17" t="s">
        <v>94</v>
      </c>
      <c r="G25" s="6" t="s">
        <v>95</v>
      </c>
      <c r="H25" s="7" t="s">
        <v>13</v>
      </c>
      <c r="I25" s="7"/>
    </row>
    <row r="27" spans="2:9" ht="22.05" customHeight="1" x14ac:dyDescent="0.3"/>
    <row r="28" spans="2:9" ht="22.05" customHeight="1" x14ac:dyDescent="0.3"/>
    <row r="29" spans="2:9" ht="22.05" customHeight="1" x14ac:dyDescent="0.3"/>
    <row r="30" spans="2:9" ht="22.05" customHeight="1" x14ac:dyDescent="0.3"/>
  </sheetData>
  <mergeCells count="3">
    <mergeCell ref="B1:I1"/>
    <mergeCell ref="B2:I2"/>
    <mergeCell ref="L4:M4"/>
  </mergeCells>
  <phoneticPr fontId="9" type="noConversion"/>
  <conditionalFormatting sqref="E5:E25">
    <cfRule type="containsText" dxfId="5" priority="2" operator="containsText" text="OUT OF SCOPE">
      <formula>NOT(ISERROR(SEARCH("OUT OF SCOPE",E5)))</formula>
    </cfRule>
    <cfRule type="containsText" dxfId="4" priority="3" operator="containsText" text="IN SCOPE">
      <formula>NOT(ISERROR(SEARCH("IN SCOPE",E5)))</formula>
    </cfRule>
    <cfRule type="containsText" dxfId="3" priority="4" operator="containsText" text="DEFERRED">
      <formula>NOT(ISERROR(SEARCH("DEFERRED",E5)))</formula>
    </cfRule>
  </conditionalFormatting>
  <conditionalFormatting sqref="I5:I25">
    <cfRule type="containsText" dxfId="2" priority="5" operator="containsText" text="Yes">
      <formula>NOT(ISERROR(SEARCH("Yes",I5)))</formula>
    </cfRule>
  </conditionalFormatting>
  <conditionalFormatting sqref="H5:H25">
    <cfRule type="containsText" dxfId="0" priority="1" operator="containsText" text="Yes">
      <formula>NOT(ISERROR(SEARCH("Yes",H5)))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Scope Baseline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lindsay</dc:creator>
  <cp:lastModifiedBy>ethan lindsay</cp:lastModifiedBy>
  <dcterms:created xsi:type="dcterms:W3CDTF">2026-09-08T21:25:08Z</dcterms:created>
  <dcterms:modified xsi:type="dcterms:W3CDTF">2026-09-29T13:26:16Z</dcterms:modified>
</cp:coreProperties>
</file>