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06530d9ff38bc/Desktop/SEN381/Ticketing-System/docs/Requirements/Scope Baseline/"/>
    </mc:Choice>
  </mc:AlternateContent>
  <xr:revisionPtr revIDLastSave="28" documentId="8_{A97EEBFC-150E-4EB3-B19B-67290A17D8A9}" xr6:coauthVersionLast="47" xr6:coauthVersionMax="47" xr10:uidLastSave="{2C1BD63F-6806-487C-BF2F-CDAF9E77B635}"/>
  <bookViews>
    <workbookView xWindow="-108" yWindow="-108" windowWidth="30936" windowHeight="17496" xr2:uid="{692520EF-F46F-4B4C-9EE5-ED1995D560B8}"/>
  </bookViews>
  <sheets>
    <sheet name="Scope Bas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1" l="1"/>
  <c r="L7" i="1"/>
  <c r="L6" i="1"/>
  <c r="L5" i="1"/>
</calcChain>
</file>

<file path=xl/sharedStrings.xml><?xml version="1.0" encoding="utf-8"?>
<sst xmlns="http://schemas.openxmlformats.org/spreadsheetml/2006/main" count="154" uniqueCount="97">
  <si>
    <t>Scope Baseline</t>
  </si>
  <si>
    <t>Capabilities classified in scope, deferred or out of scope for the M1 baseline, with justification and source</t>
  </si>
  <si>
    <t>ID</t>
  </si>
  <si>
    <t>Item / capability</t>
  </si>
  <si>
    <t>Classification</t>
  </si>
  <si>
    <t>Justification</t>
  </si>
  <si>
    <t>Source</t>
  </si>
  <si>
    <t>Defend in presentation?</t>
  </si>
  <si>
    <t>SCP-001</t>
  </si>
  <si>
    <t>Submit a service request with category, location and description</t>
  </si>
  <si>
    <t>IN SCOPE</t>
  </si>
  <si>
    <t>Minimum requester capability required by the Master Brief; the core of the business need</t>
  </si>
  <si>
    <t>Master Brief s.3, STK-001</t>
  </si>
  <si>
    <t>No</t>
  </si>
  <si>
    <t>SCP-002</t>
  </si>
  <si>
    <t>Controlled category mechanism</t>
  </si>
  <si>
    <t>Required capability; reporting in SCP-011 and triage in SCP-006 both depend on controlled categories rather than free text</t>
  </si>
  <si>
    <t>Master Brief s.3, STK-004, STK-005</t>
  </si>
  <si>
    <t>SCP-003</t>
  </si>
  <si>
    <t>View status and history of own requests</t>
  </si>
  <si>
    <t>Directly addresses the visibility problem identified in the scenario</t>
  </si>
  <si>
    <t>SCP-004</t>
  </si>
  <si>
    <t>Feedback when a request is accepted, rejected, updated or completed</t>
  </si>
  <si>
    <t>Required capability; delivered as in-application feedback only (see SCP-014 for notifications)</t>
  </si>
  <si>
    <t>SCP-005</t>
  </si>
  <si>
    <t>Staff view of requests relevant to their authorisation</t>
  </si>
  <si>
    <t>Required staff capability and the point at which authorisation becomes functional rather than administrative</t>
  </si>
  <si>
    <t>Master Brief s.3, STK-002, STK-003</t>
  </si>
  <si>
    <t>SCP-006</t>
  </si>
  <si>
    <t>Search, filter and sort requests</t>
  </si>
  <si>
    <t>Required staff capability; addresses the prioritisation difficulty described in the scenario</t>
  </si>
  <si>
    <t>Master Brief s.3, STK-004</t>
  </si>
  <si>
    <t>SCP-007</t>
  </si>
  <si>
    <t>Assign or accept responsibility for a request</t>
  </si>
  <si>
    <t>Required staff capability; implements the assignment model agreed in CFL-003</t>
  </si>
  <si>
    <t>Master Brief s.3, CFL-003</t>
  </si>
  <si>
    <t>SCP-008</t>
  </si>
  <si>
    <t>Controlled status transitions with recorded acting user</t>
  </si>
  <si>
    <t>Required staff capability; the recorded actor is what supplies the accountability the current process lacks</t>
  </si>
  <si>
    <t>Master Brief s.3, s.2, STK-005</t>
  </si>
  <si>
    <t>SCP-009</t>
  </si>
  <si>
    <t>Record actions, comments and resolution information</t>
  </si>
  <si>
    <t>Required staff capability; creates the single controlled lifecycle record the scenario identifies as missing</t>
  </si>
  <si>
    <t>Master Brief s.3</t>
  </si>
  <si>
    <t>SCP-010</t>
  </si>
  <si>
    <t>Resolve or close requests where authorised</t>
  </si>
  <si>
    <t>Required staff capability</t>
  </si>
  <si>
    <t>SCP-011</t>
  </si>
  <si>
    <t>Management view of open, overdue, resolved and closed requests by category and status</t>
  </si>
  <si>
    <t>Required management capability; the reporting need behind CFL-001</t>
  </si>
  <si>
    <t>Master Brief s.3, STK-005</t>
  </si>
  <si>
    <t>SCP-012</t>
  </si>
  <si>
    <t>Authentication and role-based access control</t>
  </si>
  <si>
    <t>Not listed as a business capability but made necessary by the CFL-002 resolution and CON-006; without it the restricted handling of security requests cannot be delivered</t>
  </si>
  <si>
    <t>CFL-002, CON-006, STK-007</t>
  </si>
  <si>
    <t>Yes</t>
  </si>
  <si>
    <t>SCP-013</t>
  </si>
  <si>
    <t>Native mobile application</t>
  </si>
  <si>
    <t>OUT OF SCOPE</t>
  </si>
  <si>
    <t>A responsive web interface satisfies the stated access need within CON-002 and CON-004. A native build adds a second toolchain, store release process and test matrix with no additional evidenced stakeholder benefit at M1.</t>
  </si>
  <si>
    <t>CON-002, CON-004</t>
  </si>
  <si>
    <t>SCP-014</t>
  </si>
  <si>
    <t>Email or push notification of status changes</t>
  </si>
  <si>
    <t>DEFERRED</t>
  </si>
  <si>
    <t>Valuable to STK-001 but depends on a delivery service whose cost and free-tier limits are unknown until the platform decision in M2. In-application feedback (SCP-004) meets the minimum capability in the interim.</t>
  </si>
  <si>
    <t>CON-003, DEC-003</t>
  </si>
  <si>
    <t>SCP-015</t>
  </si>
  <si>
    <t>Photograph attachments on a request</t>
  </si>
  <si>
    <t>Would materially improve fault triage, but introduces file storage cost, malware scanning and additional personal-information handling under CON-007. Deferred pending the platform and retention decisions.</t>
  </si>
  <si>
    <t>CON-003, CON-007</t>
  </si>
  <si>
    <t>SCP-016</t>
  </si>
  <si>
    <t>Integration with existing campus systems (student records, HR, asset register)</t>
  </si>
  <si>
    <t>No evidence is currently available that institutional APIs exist or would be made accessible to a student project. Committing to an integration the team cannot verify would create unmanageable dependency risk.</t>
  </si>
  <si>
    <t>CON-008, CON-002</t>
  </si>
  <si>
    <t>SCP-017</t>
  </si>
  <si>
    <t>Ingestion of requests from existing email, telephone or WhatsApp channels</t>
  </si>
  <si>
    <t>The business need is to replace fragmented channels with a single controlled record, not to federate them. Ingestion would preserve the duplication the platform exists to remove.</t>
  </si>
  <si>
    <t>Master Brief s.2, s.2.1</t>
  </si>
  <si>
    <t>SCP-018</t>
  </si>
  <si>
    <t>Technician scheduling, rostering or workload balancing</t>
  </si>
  <si>
    <t>Not a stated capability and not raised by any identified stakeholder; would substantially expand the domain model under a fixed schedule</t>
  </si>
  <si>
    <t>CON-001, CON-002</t>
  </si>
  <si>
    <t>SCP-019</t>
  </si>
  <si>
    <t>Multi-campus or multi-tenant operation</t>
  </si>
  <si>
    <t>Single-campus operation satisfies the current stakeholders. Recorded as deferred rather than excluded so that the M2 data model does not foreclose it unnecessarily.</t>
  </si>
  <si>
    <t>CON-002</t>
  </si>
  <si>
    <t>SCP-020</t>
  </si>
  <si>
    <t>Automated enforcement of the data retention period</t>
  </si>
  <si>
    <t>The retention period itself is undecided (DEC-005). Automating enforcement before the rule exists would encode an unverified assumption.</t>
  </si>
  <si>
    <t>CFL-004, DEC-005</t>
  </si>
  <si>
    <t>Baseline summary</t>
  </si>
  <si>
    <t>In scope</t>
  </si>
  <si>
    <t>Deferred</t>
  </si>
  <si>
    <t>Out of scope</t>
  </si>
  <si>
    <t>Total items</t>
  </si>
  <si>
    <t>Type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</si>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</sst>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F476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.5"/>
      <color rgb="FF000000"/>
      <name val="Aptos Narrow"/>
      <family val="2"/>
      <scheme val="minor"/>
    </font>
    <font>
      <sz val="10.5"/>
      <color rgb="FF000000"/>
      <name val="Aptos Narrow"/>
      <family val="2"/>
      <scheme val="minor"/>
    </font>
    <font>
      <sz val="10.5"/>
      <color rgb="FF1F6F8C"/>
      <name val="Aptos Narrow"/>
      <family val="2"/>
      <scheme val="minor"/>
    </font>
    <font>
      <b/>
      <sz val="12"/>
      <color rgb="FF0F4761"/>
      <name val="Aptos Narrow"/>
      <family val="2"/>
      <scheme val="minor"/>
    </font>
    <font>
      <sz val="8"/>
      <name val="Aptos Narrow"/>
      <family val="2"/>
      <scheme val="minor"/>
    </font>
    <font>
      <b/>
      <sz val="10.5"/>
      <color theme="5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CDE7F3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 indent="1"/>
    </xf>
    <xf numFmtId="0" fontId="5" fillId="0" borderId="1" xfId="0" applyFont="1" applyBorder="1" applyAlignment="1">
      <alignment vertical="center" wrapText="1" indent="1"/>
    </xf>
    <xf numFmtId="0" fontId="6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 inden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 indent="1"/>
    </xf>
    <xf numFmtId="0" fontId="6" fillId="3" borderId="1" xfId="0" applyFont="1" applyFill="1" applyBorder="1" applyAlignment="1">
      <alignment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 inden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inden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indent="1"/>
    </xf>
    <xf numFmtId="0" fontId="1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1">
    <cellStyle name="Normal" xfId="0" builtinId="0"/>
  </cellStyles>
  <dxfs count="4">
    <dxf>
      <font>
        <b/>
        <i val="0"/>
        <color rgb="FF0F4761"/>
      </font>
      <fill>
        <patternFill patternType="solid">
          <fgColor indexed="64"/>
          <bgColor rgb="FFCDE7F3"/>
        </patternFill>
      </fill>
    </dxf>
    <dxf>
      <font>
        <b/>
        <i val="0"/>
        <color rgb="FF7A3E00"/>
      </font>
      <fill>
        <patternFill patternType="solid">
          <fgColor indexed="64"/>
          <bgColor rgb="FFFFF3D6"/>
        </patternFill>
      </fill>
    </dxf>
    <dxf>
      <font>
        <b/>
        <i val="0"/>
        <color rgb="FF1E6B2C"/>
      </font>
      <fill>
        <patternFill patternType="solid">
          <fgColor indexed="64"/>
          <bgColor rgb="FFE2F0E4"/>
        </patternFill>
      </fill>
    </dxf>
    <dxf>
      <font>
        <b/>
        <i val="0"/>
        <color rgb="FFA61B1B"/>
      </font>
      <fill>
        <patternFill patternType="solid">
          <fgColor indexed="64"/>
          <bgColor rgb="FFFBE3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AD61-01CF-4EE9-97DC-EF3173C077C3}">
  <dimension ref="B1:L29"/>
  <sheetViews>
    <sheetView tabSelected="1" zoomScale="70" zoomScaleNormal="70" workbookViewId="0">
      <selection activeCell="Z5" sqref="Z5"/>
    </sheetView>
  </sheetViews>
  <sheetFormatPr defaultRowHeight="14.4" x14ac:dyDescent="0.3"/>
  <cols>
    <col min="1" max="1" width="2.21875" customWidth="1"/>
    <col min="2" max="3" width="13" customWidth="1"/>
    <col min="4" max="4" width="39.77734375" customWidth="1"/>
    <col min="5" max="5" width="20.33203125" customWidth="1"/>
    <col min="6" max="6" width="63" customWidth="1"/>
    <col min="7" max="7" width="27.77734375" customWidth="1"/>
    <col min="8" max="8" width="17.5546875" customWidth="1"/>
    <col min="10" max="10" width="8.88671875" customWidth="1"/>
    <col min="11" max="11" width="13.33203125" customWidth="1"/>
    <col min="12" max="12" width="29.21875" customWidth="1"/>
  </cols>
  <sheetData>
    <row r="1" spans="2:12" ht="25.8" x14ac:dyDescent="0.3">
      <c r="B1" s="18" t="s">
        <v>0</v>
      </c>
      <c r="C1" s="18"/>
      <c r="D1" s="19"/>
      <c r="E1" s="19"/>
      <c r="F1" s="19"/>
      <c r="G1" s="19"/>
      <c r="H1" s="19"/>
    </row>
    <row r="2" spans="2:12" x14ac:dyDescent="0.3">
      <c r="B2" s="20" t="s">
        <v>1</v>
      </c>
      <c r="C2" s="20"/>
      <c r="D2" s="19"/>
      <c r="E2" s="19"/>
      <c r="F2" s="19"/>
      <c r="G2" s="19"/>
      <c r="H2" s="19"/>
    </row>
    <row r="4" spans="2:12" ht="28.8" x14ac:dyDescent="0.3">
      <c r="B4" s="1" t="s">
        <v>2</v>
      </c>
      <c r="C4" s="1" t="s">
        <v>95</v>
      </c>
      <c r="D4" s="1" t="s">
        <v>3</v>
      </c>
      <c r="E4" s="2" t="s">
        <v>4</v>
      </c>
      <c r="F4" s="1" t="s">
        <v>5</v>
      </c>
      <c r="G4" s="1" t="s">
        <v>6</v>
      </c>
      <c r="H4" s="2" t="s">
        <v>7</v>
      </c>
      <c r="K4" s="21" t="s">
        <v>90</v>
      </c>
      <c r="L4" s="22"/>
    </row>
    <row r="5" spans="2:12" ht="28.8" x14ac:dyDescent="0.3">
      <c r="B5" s="3" t="s">
        <v>8</v>
      </c>
      <c r="C5" s="17" t="s">
        <v>96</v>
      </c>
      <c r="D5" s="4" t="s">
        <v>9</v>
      </c>
      <c r="E5" s="5" t="s">
        <v>10</v>
      </c>
      <c r="F5" s="4" t="s">
        <v>11</v>
      </c>
      <c r="G5" s="6" t="s">
        <v>12</v>
      </c>
      <c r="H5" s="7" t="s">
        <v>13</v>
      </c>
      <c r="K5" s="13" t="s">
        <v>91</v>
      </c>
      <c r="L5" s="14">
        <f>COUNTIF($E$5:$E$24,"IN SCOPE")</f>
        <v>12</v>
      </c>
    </row>
    <row r="6" spans="2:12" ht="28.8" x14ac:dyDescent="0.3">
      <c r="B6" s="8" t="s">
        <v>14</v>
      </c>
      <c r="C6" s="17" t="s">
        <v>96</v>
      </c>
      <c r="D6" s="9" t="s">
        <v>15</v>
      </c>
      <c r="E6" s="10" t="s">
        <v>10</v>
      </c>
      <c r="F6" s="9" t="s">
        <v>16</v>
      </c>
      <c r="G6" s="11" t="s">
        <v>17</v>
      </c>
      <c r="H6" s="12" t="s">
        <v>13</v>
      </c>
      <c r="K6" s="13" t="s">
        <v>92</v>
      </c>
      <c r="L6" s="14">
        <f>COUNTIF($E$5:$E$24,"DEFERRED")</f>
        <v>4</v>
      </c>
    </row>
    <row r="7" spans="2:12" x14ac:dyDescent="0.3">
      <c r="B7" s="3" t="s">
        <v>18</v>
      </c>
      <c r="C7" s="17" t="s">
        <v>96</v>
      </c>
      <c r="D7" s="4" t="s">
        <v>19</v>
      </c>
      <c r="E7" s="5" t="s">
        <v>10</v>
      </c>
      <c r="F7" s="4" t="s">
        <v>20</v>
      </c>
      <c r="G7" s="6" t="s">
        <v>12</v>
      </c>
      <c r="H7" s="7" t="s">
        <v>13</v>
      </c>
      <c r="K7" s="13" t="s">
        <v>93</v>
      </c>
      <c r="L7" s="14">
        <f>COUNTIF($E$5:$E$24,"OUT OF SCOPE")</f>
        <v>4</v>
      </c>
    </row>
    <row r="8" spans="2:12" ht="28.8" x14ac:dyDescent="0.3">
      <c r="B8" s="8" t="s">
        <v>21</v>
      </c>
      <c r="C8" s="17" t="s">
        <v>96</v>
      </c>
      <c r="D8" s="9" t="s">
        <v>22</v>
      </c>
      <c r="E8" s="10" t="s">
        <v>10</v>
      </c>
      <c r="F8" s="9" t="s">
        <v>23</v>
      </c>
      <c r="G8" s="11" t="s">
        <v>12</v>
      </c>
      <c r="H8" s="12" t="s">
        <v>13</v>
      </c>
      <c r="K8" s="15" t="s">
        <v>94</v>
      </c>
      <c r="L8" s="16">
        <f>COUNTA($B$5:$B$24)</f>
        <v>20</v>
      </c>
    </row>
    <row r="9" spans="2:12" ht="28.8" x14ac:dyDescent="0.3">
      <c r="B9" s="3" t="s">
        <v>24</v>
      </c>
      <c r="C9" s="17" t="s">
        <v>96</v>
      </c>
      <c r="D9" s="4" t="s">
        <v>25</v>
      </c>
      <c r="E9" s="5" t="s">
        <v>10</v>
      </c>
      <c r="F9" s="4" t="s">
        <v>26</v>
      </c>
      <c r="G9" s="6" t="s">
        <v>27</v>
      </c>
      <c r="H9" s="7" t="s">
        <v>13</v>
      </c>
    </row>
    <row r="10" spans="2:12" ht="28.8" x14ac:dyDescent="0.3">
      <c r="B10" s="8" t="s">
        <v>28</v>
      </c>
      <c r="C10" s="17" t="s">
        <v>96</v>
      </c>
      <c r="D10" s="9" t="s">
        <v>29</v>
      </c>
      <c r="E10" s="10" t="s">
        <v>10</v>
      </c>
      <c r="F10" s="9" t="s">
        <v>30</v>
      </c>
      <c r="G10" s="11" t="s">
        <v>31</v>
      </c>
      <c r="H10" s="12" t="s">
        <v>13</v>
      </c>
    </row>
    <row r="11" spans="2:12" ht="28.8" x14ac:dyDescent="0.3">
      <c r="B11" s="3" t="s">
        <v>32</v>
      </c>
      <c r="C11" s="17" t="s">
        <v>96</v>
      </c>
      <c r="D11" s="4" t="s">
        <v>33</v>
      </c>
      <c r="E11" s="5" t="s">
        <v>10</v>
      </c>
      <c r="F11" s="4" t="s">
        <v>34</v>
      </c>
      <c r="G11" s="6" t="s">
        <v>35</v>
      </c>
      <c r="H11" s="7" t="s">
        <v>13</v>
      </c>
    </row>
    <row r="12" spans="2:12" ht="28.8" x14ac:dyDescent="0.3">
      <c r="B12" s="8" t="s">
        <v>36</v>
      </c>
      <c r="C12" s="17" t="s">
        <v>96</v>
      </c>
      <c r="D12" s="9" t="s">
        <v>37</v>
      </c>
      <c r="E12" s="10" t="s">
        <v>10</v>
      </c>
      <c r="F12" s="9" t="s">
        <v>38</v>
      </c>
      <c r="G12" s="11" t="s">
        <v>39</v>
      </c>
      <c r="H12" s="12" t="s">
        <v>13</v>
      </c>
    </row>
    <row r="13" spans="2:12" ht="28.8" x14ac:dyDescent="0.3">
      <c r="B13" s="3" t="s">
        <v>40</v>
      </c>
      <c r="C13" s="17" t="s">
        <v>96</v>
      </c>
      <c r="D13" s="4" t="s">
        <v>41</v>
      </c>
      <c r="E13" s="5" t="s">
        <v>10</v>
      </c>
      <c r="F13" s="4" t="s">
        <v>42</v>
      </c>
      <c r="G13" s="6" t="s">
        <v>43</v>
      </c>
      <c r="H13" s="7" t="s">
        <v>13</v>
      </c>
    </row>
    <row r="14" spans="2:12" x14ac:dyDescent="0.3">
      <c r="B14" s="8" t="s">
        <v>44</v>
      </c>
      <c r="C14" s="17" t="s">
        <v>96</v>
      </c>
      <c r="D14" s="9" t="s">
        <v>45</v>
      </c>
      <c r="E14" s="10" t="s">
        <v>10</v>
      </c>
      <c r="F14" s="9" t="s">
        <v>46</v>
      </c>
      <c r="G14" s="11" t="s">
        <v>43</v>
      </c>
      <c r="H14" s="12" t="s">
        <v>13</v>
      </c>
    </row>
    <row r="15" spans="2:12" ht="28.8" x14ac:dyDescent="0.3">
      <c r="B15" s="3" t="s">
        <v>47</v>
      </c>
      <c r="C15" s="17" t="s">
        <v>96</v>
      </c>
      <c r="D15" s="4" t="s">
        <v>48</v>
      </c>
      <c r="E15" s="5" t="s">
        <v>10</v>
      </c>
      <c r="F15" s="4" t="s">
        <v>49</v>
      </c>
      <c r="G15" s="6" t="s">
        <v>50</v>
      </c>
      <c r="H15" s="7" t="s">
        <v>13</v>
      </c>
    </row>
    <row r="16" spans="2:12" ht="43.2" x14ac:dyDescent="0.3">
      <c r="B16" s="8" t="s">
        <v>51</v>
      </c>
      <c r="C16" s="17" t="s">
        <v>96</v>
      </c>
      <c r="D16" s="9" t="s">
        <v>52</v>
      </c>
      <c r="E16" s="10" t="s">
        <v>10</v>
      </c>
      <c r="F16" s="9" t="s">
        <v>53</v>
      </c>
      <c r="G16" s="11" t="s">
        <v>54</v>
      </c>
      <c r="H16" s="12" t="s">
        <v>55</v>
      </c>
    </row>
    <row r="17" spans="2:8" ht="57.6" x14ac:dyDescent="0.3">
      <c r="B17" s="3" t="s">
        <v>56</v>
      </c>
      <c r="C17" s="17" t="s">
        <v>96</v>
      </c>
      <c r="D17" s="4" t="s">
        <v>57</v>
      </c>
      <c r="E17" s="5" t="s">
        <v>58</v>
      </c>
      <c r="F17" s="4" t="s">
        <v>59</v>
      </c>
      <c r="G17" s="6" t="s">
        <v>60</v>
      </c>
      <c r="H17" s="7" t="s">
        <v>55</v>
      </c>
    </row>
    <row r="18" spans="2:8" ht="43.2" x14ac:dyDescent="0.3">
      <c r="B18" s="8" t="s">
        <v>61</v>
      </c>
      <c r="C18" s="17" t="s">
        <v>96</v>
      </c>
      <c r="D18" s="9" t="s">
        <v>62</v>
      </c>
      <c r="E18" s="10" t="s">
        <v>63</v>
      </c>
      <c r="F18" s="9" t="s">
        <v>64</v>
      </c>
      <c r="G18" s="11" t="s">
        <v>65</v>
      </c>
      <c r="H18" s="12" t="s">
        <v>13</v>
      </c>
    </row>
    <row r="19" spans="2:8" ht="43.2" x14ac:dyDescent="0.3">
      <c r="B19" s="3" t="s">
        <v>66</v>
      </c>
      <c r="C19" s="17" t="s">
        <v>96</v>
      </c>
      <c r="D19" s="4" t="s">
        <v>67</v>
      </c>
      <c r="E19" s="5" t="s">
        <v>63</v>
      </c>
      <c r="F19" s="4" t="s">
        <v>68</v>
      </c>
      <c r="G19" s="6" t="s">
        <v>69</v>
      </c>
      <c r="H19" s="7" t="s">
        <v>13</v>
      </c>
    </row>
    <row r="20" spans="2:8" ht="43.2" x14ac:dyDescent="0.3">
      <c r="B20" s="8" t="s">
        <v>70</v>
      </c>
      <c r="C20" s="17" t="s">
        <v>96</v>
      </c>
      <c r="D20" s="9" t="s">
        <v>71</v>
      </c>
      <c r="E20" s="10" t="s">
        <v>58</v>
      </c>
      <c r="F20" s="9" t="s">
        <v>72</v>
      </c>
      <c r="G20" s="11" t="s">
        <v>73</v>
      </c>
      <c r="H20" s="12" t="s">
        <v>13</v>
      </c>
    </row>
    <row r="21" spans="2:8" ht="43.2" x14ac:dyDescent="0.3">
      <c r="B21" s="3" t="s">
        <v>74</v>
      </c>
      <c r="C21" s="17" t="s">
        <v>96</v>
      </c>
      <c r="D21" s="4" t="s">
        <v>75</v>
      </c>
      <c r="E21" s="5" t="s">
        <v>58</v>
      </c>
      <c r="F21" s="4" t="s">
        <v>76</v>
      </c>
      <c r="G21" s="6" t="s">
        <v>77</v>
      </c>
      <c r="H21" s="7" t="s">
        <v>13</v>
      </c>
    </row>
    <row r="22" spans="2:8" ht="28.8" x14ac:dyDescent="0.3">
      <c r="B22" s="8" t="s">
        <v>78</v>
      </c>
      <c r="C22" s="17" t="s">
        <v>96</v>
      </c>
      <c r="D22" s="9" t="s">
        <v>79</v>
      </c>
      <c r="E22" s="10" t="s">
        <v>58</v>
      </c>
      <c r="F22" s="9" t="s">
        <v>80</v>
      </c>
      <c r="G22" s="11" t="s">
        <v>81</v>
      </c>
      <c r="H22" s="12" t="s">
        <v>13</v>
      </c>
    </row>
    <row r="23" spans="2:8" ht="43.2" x14ac:dyDescent="0.3">
      <c r="B23" s="3" t="s">
        <v>82</v>
      </c>
      <c r="C23" s="17" t="s">
        <v>96</v>
      </c>
      <c r="D23" s="4" t="s">
        <v>83</v>
      </c>
      <c r="E23" s="5" t="s">
        <v>63</v>
      </c>
      <c r="F23" s="4" t="s">
        <v>84</v>
      </c>
      <c r="G23" s="6" t="s">
        <v>85</v>
      </c>
      <c r="H23" s="7" t="s">
        <v>13</v>
      </c>
    </row>
    <row r="24" spans="2:8" ht="43.2" x14ac:dyDescent="0.3">
      <c r="B24" s="8" t="s">
        <v>86</v>
      </c>
      <c r="C24" s="17" t="s">
        <v>96</v>
      </c>
      <c r="D24" s="9" t="s">
        <v>87</v>
      </c>
      <c r="E24" s="10" t="s">
        <v>63</v>
      </c>
      <c r="F24" s="9" t="s">
        <v>88</v>
      </c>
      <c r="G24" s="11" t="s">
        <v>89</v>
      </c>
      <c r="H24" s="12" t="s">
        <v>13</v>
      </c>
    </row>
    <row r="26" spans="2:8" ht="22.05" customHeight="1" x14ac:dyDescent="0.3"/>
    <row r="27" spans="2:8" ht="22.05" customHeight="1" x14ac:dyDescent="0.3"/>
    <row r="28" spans="2:8" ht="22.05" customHeight="1" x14ac:dyDescent="0.3"/>
    <row r="29" spans="2:8" ht="22.05" customHeight="1" x14ac:dyDescent="0.3"/>
  </sheetData>
  <mergeCells count="3">
    <mergeCell ref="B1:H1"/>
    <mergeCell ref="B2:H2"/>
    <mergeCell ref="K4:L4"/>
  </mergeCells>
  <phoneticPr fontId="9" type="noConversion"/>
  <conditionalFormatting sqref="E5:E24">
    <cfRule type="containsText" dxfId="3" priority="1" operator="containsText" text="OUT OF SCOPE">
      <formula>NOT(ISERROR(SEARCH("OUT OF SCOPE",E5)))</formula>
    </cfRule>
    <cfRule type="containsText" dxfId="2" priority="2" operator="containsText" text="IN SCOPE">
      <formula>NOT(ISERROR(SEARCH("IN SCOPE",E5)))</formula>
    </cfRule>
    <cfRule type="containsText" dxfId="1" priority="3" operator="containsText" text="DEFERRED">
      <formula>NOT(ISERROR(SEARCH("DEFERRED",E5)))</formula>
    </cfRule>
  </conditionalFormatting>
  <conditionalFormatting sqref="H5:H24">
    <cfRule type="containsText" dxfId="0" priority="4" operator="containsText" text="Yes">
      <formula>NOT(ISERROR(SEARCH("Yes",H5)))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2026-09-08T21:25:08Z</dcterms:created>
  <dcterms:modified xsi:type="dcterms:W3CDTF">2026-09-09T16:33:00Z</dcterms:modified>
</cp:coreProperties>
</file>