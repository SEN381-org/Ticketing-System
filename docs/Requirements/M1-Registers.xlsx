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c906530d9ff38bc/Desktop/SEN381/Ticketing-System/docs/Requirements/"/>
    </mc:Choice>
  </mc:AlternateContent>
  <xr:revisionPtr revIDLastSave="0" documentId="8_{149055AE-EDC4-4416-99C6-A64468102E71}" xr6:coauthVersionLast="47" xr6:coauthVersionMax="47" xr10:uidLastSave="{00000000-0000-0000-0000-000000000000}"/>
  <bookViews>
    <workbookView xWindow="-108" yWindow="-108" windowWidth="30936" windowHeight="17496" activeTab="4" xr2:uid="{4BB1E605-821F-4A7F-B872-15F21F5476F2}"/>
  </bookViews>
  <sheets>
    <sheet name="stakeholder-register" sheetId="1" r:id="rId1"/>
    <sheet name="stakeholder-conflicts" sheetId="3" r:id="rId2"/>
    <sheet name="scope-baseline" sheetId="4" r:id="rId3"/>
    <sheet name="constraints" sheetId="5" r:id="rId4"/>
    <sheet name="decision-log"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8" i="6" l="1"/>
  <c r="C10" i="6"/>
  <c r="C11" i="6"/>
  <c r="C9" i="6"/>
  <c r="C7" i="6"/>
  <c r="C6" i="6"/>
  <c r="C5" i="6"/>
  <c r="D14" i="6"/>
  <c r="D15" i="6"/>
  <c r="D16" i="6"/>
  <c r="D15" i="5"/>
  <c r="D16" i="5"/>
  <c r="D17" i="5"/>
  <c r="D18" i="5"/>
  <c r="D19" i="5"/>
  <c r="D20" i="5"/>
  <c r="C27" i="4"/>
  <c r="C28" i="4"/>
  <c r="C29" i="4"/>
  <c r="C30" i="4"/>
  <c r="F25" i="1"/>
  <c r="F22" i="1"/>
  <c r="F21" i="1"/>
  <c r="F20" i="1"/>
  <c r="F19" i="1"/>
  <c r="C22" i="1"/>
  <c r="C21" i="1"/>
  <c r="C20" i="1"/>
  <c r="C19" i="1"/>
</calcChain>
</file>

<file path=xl/sharedStrings.xml><?xml version="1.0" encoding="utf-8"?>
<sst xmlns="http://schemas.openxmlformats.org/spreadsheetml/2006/main" count="403" uniqueCount="310">
  <si>
    <t>ID</t>
  </si>
  <si>
    <t>Stakeholder</t>
  </si>
  <si>
    <t>STK-001</t>
  </si>
  <si>
    <t>STK-002</t>
  </si>
  <si>
    <t>STK-003</t>
  </si>
  <si>
    <t>STK-004</t>
  </si>
  <si>
    <t>STK-005</t>
  </si>
  <si>
    <t>STK-006</t>
  </si>
  <si>
    <t>STK-007</t>
  </si>
  <si>
    <t>STK-008</t>
  </si>
  <si>
    <t>STK-009</t>
  </si>
  <si>
    <t>IT support technician</t>
  </si>
  <si>
    <t>Service desk coordinator</t>
  </si>
  <si>
    <t>Campus executive sponsor</t>
  </si>
  <si>
    <t>Campus security officer</t>
  </si>
  <si>
    <t>Information officer / POPIA compliance</t>
  </si>
  <si>
    <t>Resolves physical faults and maintenance requests</t>
  </si>
  <si>
    <t>Resolves IT support requests</t>
  </si>
  <si>
    <t>Triages, categorises and assigns incoming requests</t>
  </si>
  <si>
    <t>Oversight and service performance reporting</t>
  </si>
  <si>
    <t>Handles security-concern requests</t>
  </si>
  <si>
    <t>Manages user accounts, roles and permissions</t>
  </si>
  <si>
    <t>Submits service requests and tracks their own request</t>
  </si>
  <si>
    <t>Avoid duplicate and unassigned requests; maintain visibility of the whole queue</t>
  </si>
  <si>
    <t>Reliable view of open, overdue, resolved and closed work by category</t>
  </si>
  <si>
    <t>Restricted handling and visibility of sensitive security reports</t>
  </si>
  <si>
    <t>A manageable role model with the ability to onboard and revoke access reliably</t>
  </si>
  <si>
    <t>Improved accountability and service performance without unsustainable operational cost</t>
  </si>
  <si>
    <t>Lawful, auditable handling of student and staff personal information</t>
  </si>
  <si>
    <t>A</t>
  </si>
  <si>
    <t>Influence</t>
  </si>
  <si>
    <t>High</t>
  </si>
  <si>
    <t>Medium</t>
  </si>
  <si>
    <t>Low</t>
  </si>
  <si>
    <t>Interest</t>
  </si>
  <si>
    <t>Keep Satisfied</t>
  </si>
  <si>
    <t>Manage Closely</t>
  </si>
  <si>
    <t>STK-004 Service desk coordinator</t>
  </si>
  <si>
    <t>STK-005 Operations manager</t>
  </si>
  <si>
    <t>Monitor</t>
  </si>
  <si>
    <t>Keep Informed</t>
  </si>
  <si>
    <t>STK-001 Student / staff requester</t>
  </si>
  <si>
    <t>Engagement approach</t>
  </si>
  <si>
    <t>Process walkthrough of current triage across email, phone and WhatsApp</t>
  </si>
  <si>
    <t>Stakeholder Register</t>
  </si>
  <si>
    <t>Service request platform — stakeholder identification, influence/interest rating and engagement approach</t>
  </si>
  <si>
    <t>Relationship to system</t>
  </si>
  <si>
    <t>Primary need</t>
  </si>
  <si>
    <t>Student / staff requester</t>
  </si>
  <si>
    <t>Submit a request quickly and know it was received and what is happening to it</t>
  </si>
  <si>
    <t>Facilities / maintenance technician</t>
  </si>
  <si>
    <t>See assigned work clearly and update status from where the work is done</t>
  </si>
  <si>
    <t>Same queue behaviour as facilities, but different categories and turnaround expectations</t>
  </si>
  <si>
    <t>Operations manager</t>
  </si>
  <si>
    <t>System administrator</t>
  </si>
  <si>
    <t>Funds and authorises the platform</t>
  </si>
  <si>
    <t>Governs handling of personal information</t>
  </si>
  <si>
    <t>Confirm data handling obligations before baseline</t>
  </si>
  <si>
    <t>Power / Interest Grid</t>
  </si>
  <si>
    <t>Influence rated High/Medium is treated as higher influence; Interest rated High is treated as higher interest</t>
  </si>
  <si>
    <t>HIGHER INFLUENCE</t>
  </si>
  <si>
    <t>None identified</t>
  </si>
  <si>
    <t>LOWER INTEREST</t>
  </si>
  <si>
    <t>HIGHER INTEREST</t>
  </si>
  <si>
    <t>Takeaway:  every stakeholder identified holds either power or a stake — nobody is safely ignorable.</t>
  </si>
  <si>
    <t>LOWER INFL.</t>
  </si>
  <si>
    <r>
      <rPr>
        <b/>
        <sz val="11"/>
        <color rgb="FF000000"/>
        <rFont val="Aptos Narrow"/>
        <family val="2"/>
        <scheme val="minor"/>
      </rPr>
      <t>Interview a sample of requesters:</t>
    </r>
    <r>
      <rPr>
        <sz val="11"/>
        <color rgb="FF000000"/>
        <rFont val="Aptos Narrow"/>
        <family val="2"/>
        <scheme val="minor"/>
      </rPr>
      <t xml:space="preserve"> review current email / WhatsApp request history</t>
    </r>
  </si>
  <si>
    <r>
      <rPr>
        <b/>
        <sz val="11"/>
        <color rgb="FF000000"/>
        <rFont val="Aptos Narrow"/>
        <family val="2"/>
        <scheme val="minor"/>
      </rPr>
      <t>Observe current workflow:</t>
    </r>
    <r>
      <rPr>
        <sz val="11"/>
        <color rgb="FF000000"/>
        <rFont val="Aptos Narrow"/>
        <family val="2"/>
        <scheme val="minor"/>
      </rPr>
      <t xml:space="preserve"> walkthrough of a typical fault</t>
    </r>
  </si>
  <si>
    <r>
      <rPr>
        <b/>
        <sz val="11"/>
        <color rgb="FF000000"/>
        <rFont val="Aptos Narrow"/>
        <family val="2"/>
        <scheme val="minor"/>
      </rPr>
      <t>Interview:</t>
    </r>
    <r>
      <rPr>
        <sz val="11"/>
        <color rgb="FF000000"/>
        <rFont val="Aptos Narrow"/>
        <family val="2"/>
        <scheme val="minor"/>
      </rPr>
      <t xml:space="preserve"> compare category and priority needs against STK-002</t>
    </r>
  </si>
  <si>
    <r>
      <rPr>
        <b/>
        <sz val="11"/>
        <color rgb="FF000000"/>
        <rFont val="Aptos Narrow"/>
        <family val="2"/>
        <scheme val="minor"/>
      </rPr>
      <t>Interview:</t>
    </r>
    <r>
      <rPr>
        <sz val="11"/>
        <color rgb="FF000000"/>
        <rFont val="Aptos Narrow"/>
        <family val="2"/>
        <scheme val="minor"/>
      </rPr>
      <t xml:space="preserve"> confirm which reporting dimensions are actually used</t>
    </r>
  </si>
  <si>
    <r>
      <rPr>
        <b/>
        <sz val="11"/>
        <color rgb="FF000000"/>
        <rFont val="Aptos Narrow"/>
        <family val="2"/>
        <scheme val="minor"/>
      </rPr>
      <t>Interview:</t>
    </r>
    <r>
      <rPr>
        <sz val="11"/>
        <color rgb="FF000000"/>
        <rFont val="Aptos Narrow"/>
        <family val="2"/>
        <scheme val="minor"/>
      </rPr>
      <t xml:space="preserve"> confirm confidentiality expectations for security categories</t>
    </r>
  </si>
  <si>
    <r>
      <rPr>
        <b/>
        <sz val="11"/>
        <color rgb="FF000000"/>
        <rFont val="Aptos Narrow"/>
        <family val="2"/>
        <scheme val="minor"/>
      </rPr>
      <t xml:space="preserve">Interview: </t>
    </r>
    <r>
      <rPr>
        <sz val="11"/>
        <color rgb="FF000000"/>
        <rFont val="Aptos Narrow"/>
        <family val="2"/>
        <scheme val="minor"/>
      </rPr>
      <t>review existing institutional account management practice</t>
    </r>
  </si>
  <si>
    <r>
      <rPr>
        <b/>
        <sz val="11"/>
        <color rgb="FF000000"/>
        <rFont val="Aptos Narrow"/>
        <family val="2"/>
        <scheme val="minor"/>
      </rPr>
      <t>Periodic milestone review:</t>
    </r>
    <r>
      <rPr>
        <sz val="11"/>
        <color rgb="FF000000"/>
        <rFont val="Aptos Narrow"/>
        <family val="2"/>
        <scheme val="minor"/>
      </rPr>
      <t xml:space="preserve"> cost and benefit summary</t>
    </r>
  </si>
  <si>
    <t>CFL-001</t>
  </si>
  <si>
    <t>CFL-002</t>
  </si>
  <si>
    <t>CFL-003</t>
  </si>
  <si>
    <t>CFL-004</t>
  </si>
  <si>
    <t>Stakeholder A</t>
  </si>
  <si>
    <t>Stakeholder B</t>
  </si>
  <si>
    <t>Nature of the conflict</t>
  </si>
  <si>
    <t>Why it cannot simply be satisfied both ways</t>
  </si>
  <si>
    <t>Affected artefact refs</t>
  </si>
  <si>
    <t>STK-002 / STK-003 Technicians</t>
  </si>
  <si>
    <t>STK-006 Campus security officer</t>
  </si>
  <si>
    <t>STK-009 Information officer / POPIA compliance</t>
  </si>
  <si>
    <t>Requester needs to submit a request in as few steps as possible; manager needs richly categorised, structured data to report on open, overdue and resolved work by category</t>
  </si>
  <si>
    <t>Requester expects full visibility of the status and handling of their own request; security officer requires restricted visibility and handling of security-concern reports</t>
  </si>
  <si>
    <t>Technicians want to select work from a shared queue based on their own location and availability; coordinator needs controlled assignment so that ownership and accountability are unambiguous</t>
  </si>
  <si>
    <t>Manager wants historical request data retained for service-performance analysis; information officer requires personal information to be minimised and not retained longer than necessary</t>
  </si>
  <si>
    <t>Every additional mandatory capture field increases submission effort for the requester. Optional fields produce incomplete data, which weakens the reporting the manager depends on. Both cannot be maximised.</t>
  </si>
  <si>
    <t>Full transparency on a security-category request could expose who is investigating, what action is being taken, or details that compromise the response. Restricting it removes the visibility that the whole platform exists to provide.</t>
  </si>
  <si>
    <t>Open self-selection produces the same duplication and unclear ownership the current process suffers from. Fully centralised assignment removes the technicians' practical knowledge of what they can actually reach and reduces responsiveness.</t>
  </si>
  <si>
    <t>Service-performance trends need history. POPIA requires retention to be justified and limited. Keeping everything indefinitely is not lawful; deleting aggressively destroys the reporting value.</t>
  </si>
  <si>
    <t>STK-001, STK-005</t>
  </si>
  <si>
    <t>STK-001, STK-006, STK-007</t>
  </si>
  <si>
    <t>STK-002, STK-003, STK-004</t>
  </si>
  <si>
    <t>STK-005, STK-009</t>
  </si>
  <si>
    <t>Stakeholder Conflicts</t>
  </si>
  <si>
    <t>Competing stakeholder needs, why they cannot both be fully satisfied, and the resulting change in scope or requirements</t>
  </si>
  <si>
    <t>Resolution (change in scope / requirements)</t>
  </si>
  <si>
    <t>Open item:  the retention period in CFL-004 is deferred pending confirmation from the information officer — all other conflicts have a proposed resolution.</t>
  </si>
  <si>
    <t>Status</t>
  </si>
  <si>
    <t>Proposed</t>
  </si>
  <si>
    <t>Proposed — retention deferred</t>
  </si>
  <si>
    <t>Keep the mandatory field set minimal (category, location, description) and prompt for additional detail after submission rather than before. Category remains mandatory because reporting cannot function without it.</t>
  </si>
  <si>
    <t>Security-category requests expose a reduced status set to the requester (received, in progress, closed) with detail and comments restricted to an authorised security role. Drives a role-based access requirement rather than a single shared view.</t>
  </si>
  <si>
    <t>Coordinator assigns by default; technicians may accept an unassigned request within their own category. Every assignment and status transition records the acting user, so accountability holds under either path.</t>
  </si>
  <si>
    <t>Define a retention period for identifiable request data and retain aggregated, non-identifying statistics beyond it. Retention period is deferred pending confirmation from the information officer.</t>
  </si>
  <si>
    <t>Item / capability</t>
  </si>
  <si>
    <t>Classification</t>
  </si>
  <si>
    <t>Justification</t>
  </si>
  <si>
    <t>Source</t>
  </si>
  <si>
    <t>Defend in presentation?</t>
  </si>
  <si>
    <t>SCP-001</t>
  </si>
  <si>
    <t>Submit a service request with category, location and description</t>
  </si>
  <si>
    <t>IN SCOPE</t>
  </si>
  <si>
    <t>Minimum requester capability required by the Master Brief; the core of the business need</t>
  </si>
  <si>
    <t>Master Brief s.3, STK-001</t>
  </si>
  <si>
    <t>No</t>
  </si>
  <si>
    <t>SCP-002</t>
  </si>
  <si>
    <t>Controlled category mechanism</t>
  </si>
  <si>
    <t>Required capability; reporting in SCP-011 and triage in SCP-006 both depend on controlled categories rather than free text</t>
  </si>
  <si>
    <t>Master Brief s.3, STK-004, STK-005</t>
  </si>
  <si>
    <t>SCP-003</t>
  </si>
  <si>
    <t>View status and history of own requests</t>
  </si>
  <si>
    <t>Directly addresses the visibility problem identified in the scenario</t>
  </si>
  <si>
    <t>SCP-004</t>
  </si>
  <si>
    <t>Feedback when a request is accepted, rejected, updated or completed</t>
  </si>
  <si>
    <t>Required capability; delivered as in-application feedback only (see SCP-014 for notifications)</t>
  </si>
  <si>
    <t>SCP-005</t>
  </si>
  <si>
    <t>Staff view of requests relevant to their authorisation</t>
  </si>
  <si>
    <t>Required staff capability and the point at which authorisation becomes functional rather than administrative</t>
  </si>
  <si>
    <t>Master Brief s.3, STK-002, STK-003</t>
  </si>
  <si>
    <t>SCP-006</t>
  </si>
  <si>
    <t>Search, filter and sort requests</t>
  </si>
  <si>
    <t>Required staff capability; addresses the prioritisation difficulty described in the scenario</t>
  </si>
  <si>
    <t>Master Brief s.3, STK-004</t>
  </si>
  <si>
    <t>SCP-007</t>
  </si>
  <si>
    <t>Assign or accept responsibility for a request</t>
  </si>
  <si>
    <t>Required staff capability; implements the assignment model agreed in CFL-003</t>
  </si>
  <si>
    <t>Master Brief s.3, CFL-003</t>
  </si>
  <si>
    <t>SCP-008</t>
  </si>
  <si>
    <t>Controlled status transitions with recorded acting user</t>
  </si>
  <si>
    <t>Required staff capability; the recorded actor is what supplies the accountability the current process lacks</t>
  </si>
  <si>
    <t>Master Brief s.3, s.2, STK-005</t>
  </si>
  <si>
    <t>SCP-009</t>
  </si>
  <si>
    <t>Record actions, comments and resolution information</t>
  </si>
  <si>
    <t>Required staff capability; creates the single controlled lifecycle record the scenario identifies as missing</t>
  </si>
  <si>
    <t>Master Brief s.3</t>
  </si>
  <si>
    <t>SCP-010</t>
  </si>
  <si>
    <t>Resolve or close requests where authorised</t>
  </si>
  <si>
    <t>Required staff capability</t>
  </si>
  <si>
    <t>SCP-011</t>
  </si>
  <si>
    <t>Management view of open, overdue, resolved and closed requests by category and status</t>
  </si>
  <si>
    <t>Required management capability; the reporting need behind CFL-001</t>
  </si>
  <si>
    <t>Master Brief s.3, STK-005</t>
  </si>
  <si>
    <t>SCP-012</t>
  </si>
  <si>
    <t>Authentication and role-based access control</t>
  </si>
  <si>
    <t>Not listed as a business capability but made necessary by the CFL-002 resolution and CON-006; without it the restricted handling of security requests cannot be delivered</t>
  </si>
  <si>
    <t>CFL-002, CON-006, STK-007</t>
  </si>
  <si>
    <t>Yes</t>
  </si>
  <si>
    <t>SCP-013</t>
  </si>
  <si>
    <t>Native mobile application</t>
  </si>
  <si>
    <t>OUT OF SCOPE</t>
  </si>
  <si>
    <t>A responsive web interface satisfies the stated access need within CON-002 and CON-004. A native build adds a second toolchain, store release process and test matrix with no additional evidenced stakeholder benefit at M1.</t>
  </si>
  <si>
    <t>CON-002, CON-004</t>
  </si>
  <si>
    <t>SCP-014</t>
  </si>
  <si>
    <t>Email or push notification of status changes</t>
  </si>
  <si>
    <t>DEFERRED</t>
  </si>
  <si>
    <t>Valuable to STK-001 but depends on a delivery service whose cost and free-tier limits are unknown until the platform decision in M2. In-application feedback (SCP-004) meets the minimum capability in the interim.</t>
  </si>
  <si>
    <t>CON-003, DEC-003</t>
  </si>
  <si>
    <t>SCP-015</t>
  </si>
  <si>
    <t>Photograph attachments on a request</t>
  </si>
  <si>
    <t>Would materially improve fault triage, but introduces file storage cost, malware scanning and additional personal-information handling under CON-007. Deferred pending the platform and retention decisions.</t>
  </si>
  <si>
    <t>CON-003, CON-007</t>
  </si>
  <si>
    <t>SCP-016</t>
  </si>
  <si>
    <t>Integration with existing campus systems (student records, HR, asset register)</t>
  </si>
  <si>
    <t>No evidence is currently available that institutional APIs exist or would be made accessible to a student project. Committing to an integration the team cannot verify would create unmanageable dependency risk.</t>
  </si>
  <si>
    <t>CON-008, CON-002</t>
  </si>
  <si>
    <t>SCP-017</t>
  </si>
  <si>
    <t>Ingestion of requests from existing email, telephone or WhatsApp channels</t>
  </si>
  <si>
    <t>The business need is to replace fragmented channels with a single controlled record, not to federate them. Ingestion would preserve the duplication the platform exists to remove.</t>
  </si>
  <si>
    <t>Master Brief s.2, s.2.1</t>
  </si>
  <si>
    <t>SCP-018</t>
  </si>
  <si>
    <t>Technician scheduling, rostering or workload balancing</t>
  </si>
  <si>
    <t>Not a stated capability and not raised by any identified stakeholder; would substantially expand the domain model under a fixed schedule</t>
  </si>
  <si>
    <t>CON-001, CON-002</t>
  </si>
  <si>
    <t>SCP-019</t>
  </si>
  <si>
    <t>Multi-campus or multi-tenant operation</t>
  </si>
  <si>
    <t>Single-campus operation satisfies the current stakeholders. Recorded as deferred rather than excluded so that the M2 data model does not foreclose it unnecessarily.</t>
  </si>
  <si>
    <t>CON-002</t>
  </si>
  <si>
    <t>SCP-020</t>
  </si>
  <si>
    <t>Automated enforcement of the data retention period</t>
  </si>
  <si>
    <t>The retention period itself is undecided (DEC-005). Automating enforcement before the rule exists would encode an unverified assumption.</t>
  </si>
  <si>
    <t>CFL-004, DEC-005</t>
  </si>
  <si>
    <t>Scope Baseline</t>
  </si>
  <si>
    <t>Capabilities classified in scope, deferred or out of scope for the M1 baseline, with justification and source</t>
  </si>
  <si>
    <t>Baseline summary</t>
  </si>
  <si>
    <t>In scope</t>
  </si>
  <si>
    <t>Deferred</t>
  </si>
  <si>
    <t>Out of scope</t>
  </si>
  <si>
    <t>Total items</t>
  </si>
  <si>
    <t>Category</t>
  </si>
  <si>
    <t>Constraint</t>
  </si>
  <si>
    <t>Engineering implication</t>
  </si>
  <si>
    <t>Interacts with</t>
  </si>
  <si>
    <t>Trade-off summary</t>
  </si>
  <si>
    <t>CON-001</t>
  </si>
  <si>
    <t>Scope</t>
  </si>
  <si>
    <t>The delivered system must support the minimum requester, staff and management capabilities; committed scope is baselined and changed only through controlled change</t>
  </si>
  <si>
    <t>Master Brief s.3, s.4</t>
  </si>
  <si>
    <t>Sets a floor that cannot be traded away under schedule pressure. Any additional feature must be justified against value and its effect on the other constraints, so the scope baseline becomes the reference for every later change request.</t>
  </si>
  <si>
    <t>Fixed capability floor plus fixed schedule means quality or additional scope absorbs any pressure, not the minimum capabilities</t>
  </si>
  <si>
    <t>Schedule</t>
  </si>
  <si>
    <t>The project must progress through four formal milestones within the SEN381 delivery period, with M1 baselined before architecture decisions are made</t>
  </si>
  <si>
    <t>Master Brief s.4, s.20</t>
  </si>
  <si>
    <t>Rules out exploratory or open-ended technology evaluation in M2. Favours technologies the team can already use productively, and forces requirements to be stable enough at M1 to support architecture decisions that follow immediately.</t>
  </si>
  <si>
    <t>CON-004</t>
  </si>
  <si>
    <t>See CON-004: an unfamiliar stack costs learning time the schedule does not contain</t>
  </si>
  <si>
    <t>CON-003</t>
  </si>
  <si>
    <t>Cost &amp; resources</t>
  </si>
  <si>
    <t>Free or low-cost services preferred where practical; free-tier limits and likely operational cost beyond the educational context must be identified</t>
  </si>
  <si>
    <t>Master Brief s.4, s.18</t>
  </si>
  <si>
    <t>Free tiers commonly restrict backups, private networking, audit log retention and uptime guarantees. The hosting decision therefore cannot be made on price alone and must be evaluated against the security and quality constraints before it is committed.</t>
  </si>
  <si>
    <t>CON-006, CON-007</t>
  </si>
  <si>
    <t>A free tier that lacks audit log retention conflicts directly with the accountability need behind CON-007; either the cost assumption or the retention approach must give</t>
  </si>
  <si>
    <t>Exactly three students, working part-time alongside other modules, with technology limited to what the team can realistically learn and support</t>
  </si>
  <si>
    <t>Master Brief s.4, s.7.1, s.18.1</t>
  </si>
  <si>
    <t>Team capability is an engineering input, not a preference. Selecting an unfamiliar framework spends schedule on learning rather than on verification, and concentrates risk if only one member understands a component.</t>
  </si>
  <si>
    <t>Familiar stack lowers schedule risk but may fit the requirements less well; the trade-off must be recorded in the M2 ADR rather than assumed</t>
  </si>
  <si>
    <t>CON-005</t>
  </si>
  <si>
    <t>Quality</t>
  </si>
  <si>
    <t>Quality attributes must be defined measurably in M1 and later supported by test and measurement evidence; unsupported quality claims are not accepted</t>
  </si>
  <si>
    <t>Master Brief s.4, s.15</t>
  </si>
  <si>
    <t>Every NFR written now creates a later obligation to produce evidence. Vague quality language cannot be verified, so NFRs must carry numbers and conditions from the outset or they will be unusable in M3.</t>
  </si>
  <si>
    <t>Each measurable NFR adds verification work in M3; the number of NFRs is itself a schedule decision</t>
  </si>
  <si>
    <t>CON-006</t>
  </si>
  <si>
    <t>Security</t>
  </si>
  <si>
    <t>Security is a lifecycle-wide responsibility; secrets must not be committed; trust boundaries, authentication, authorisation and least privilege must be addressed from requirements onward</t>
  </si>
  <si>
    <t>Master Brief s.4, s.16</t>
  </si>
  <si>
    <t>Rules out deferring authorisation to late construction. The restricted visibility agreed in CFL-002 requires role-based access control, which is an architecture-level concern and must be treated as an architecturally significant requirement in M2.</t>
  </si>
  <si>
    <t>Some security controls (private networking, log retention, managed identity) are paid features on platforms that are otherwise free</t>
  </si>
  <si>
    <t>CON-007</t>
  </si>
  <si>
    <t>The system handles personal information of students and staff and must comply with applicable data protection obligations under POPIA</t>
  </si>
  <si>
    <t>Campus context; STK-009</t>
  </si>
  <si>
    <t>Constrains what may be captured, who may view it, how long it is retained and whether access is auditable. Data minimisation directly limits the reporting richness sought in CFL-001 and CFL-004.</t>
  </si>
  <si>
    <t>CON-003, CON-001</t>
  </si>
  <si>
    <t>Retention and audit requirements may exceed what a free-tier platform provides; see CON-003</t>
  </si>
  <si>
    <t>CON-008</t>
  </si>
  <si>
    <t>Belgium Campus does not guarantee that a chosen language, framework, service or deployment platform is available or supported on the BC Desktop platform or institutional environment</t>
  </si>
  <si>
    <t>Master Brief s.25</t>
  </si>
  <si>
    <t>Compatibility must be verified before the technology is committed, not after. Creates a real risk that a technically sound choice is undeliverable in the available environment, so the M2 decision needs evidence of availability, not only suitability.</t>
  </si>
  <si>
    <t>Verification costs schedule time in M2; skipping it risks rework that costs far more</t>
  </si>
  <si>
    <t>Constraints</t>
  </si>
  <si>
    <t>Fixed conditions on the project, what each one means for engineering, and where they pull against one another</t>
  </si>
  <si>
    <t>Constraints by category</t>
  </si>
  <si>
    <t>Total</t>
  </si>
  <si>
    <t>Date</t>
  </si>
  <si>
    <t>Decision or deferment</t>
  </si>
  <si>
    <t>Alternatives considered</t>
  </si>
  <si>
    <t>Rationale</t>
  </si>
  <si>
    <t>Consequences / downstream impact</t>
  </si>
  <si>
    <t>Evidence still required (if deferred)</t>
  </si>
  <si>
    <t>Owner</t>
  </si>
  <si>
    <t>DEC-001</t>
  </si>
  <si>
    <t>Scope CivicConnect to a campus / educational institution context</t>
  </si>
  <si>
    <t>Municipality or local government; community NGO; residential estate</t>
  </si>
  <si>
    <t>The Master Brief does not name the client organisation. The request types listed in s.2 (facility faults, IT support, lost property, security concerns) correspond to an institutional campus. A recorded assumption is preferable to proceeding with an ambiguous stakeholder set.</t>
  </si>
  <si>
    <t>Determines the entire stakeholder register and the applicability of POPIA (CON-007). If the assumption is wrong, STK-001 to STK-009 and every derived requirement must be revisited.</t>
  </si>
  <si>
    <t>DECIDED</t>
  </si>
  <si>
    <t>DEC-002</t>
  </si>
  <si>
    <t>Defer selection of the technology stack</t>
  </si>
  <si>
    <t>Commit now to a familiar stack; commit now to a stack chosen for requirement fit</t>
  </si>
  <si>
    <t>M1 is explicitly not a technology-selection milestone. The requirements baseline is not yet complete, so no evidence currently distinguishes the alternatives.</t>
  </si>
  <si>
    <t>Preserves M2 options. Creates a dependency: the M2 decision must satisfy CON-004 (team capability) and CON-008 (institutional environment availability) as well as requirement fit.</t>
  </si>
  <si>
    <t>Completed FR/NFR baseline; verification that candidate stacks are available on the BC Desktop platform</t>
  </si>
  <si>
    <t>DEC-003</t>
  </si>
  <si>
    <t>Defer selection of the hosting and deployment platform</t>
  </si>
  <si>
    <t>Commit to a free-tier platform now; commit to a paid platform now</t>
  </si>
  <si>
    <t>The cost constraint (CON-003) favours a free tier, but free tiers commonly omit audit log retention, backups and private networking, which CON-006 and CON-007 require. The decision cannot be made on price alone and no platform research evidence exists yet.</t>
  </si>
  <si>
    <t>Blocks SCP-014 and SCP-015, both of which depend on platform capability and cost. Must be resolved before the M2 architecture is finalised.</t>
  </si>
  <si>
    <t>Documented free-tier limits for candidate platforms, covering audit log retention, backup and likely operational cost beyond the educational context</t>
  </si>
  <si>
    <t>DEC-004</t>
  </si>
  <si>
    <t>Treat role-based access control as an architecturally significant requirement</t>
  </si>
  <si>
    <t>Handle authorisation as an application-level concern during construction; use a single shared staff view</t>
  </si>
  <si>
    <t>The CFL-002 resolution restricts security-request visibility by role. Authorisation applied late cannot be retrofitted cleanly across every view and transition, and CON-006 requires it to be addressed from requirements onward.</t>
  </si>
  <si>
    <t>Constrains the M2 architecture and data model. Adds verification obligations in M3 under CON-005.</t>
  </si>
  <si>
    <t>DEC-005</t>
  </si>
  <si>
    <t>Defer the personal-information retention period</t>
  </si>
  <si>
    <t>Retain indefinitely; adopt an arbitrary fixed period</t>
  </si>
  <si>
    <t>CFL-004 is unresolved. The lawful period depends on guidance from STK-009 that the team does not yet have, and an arbitrary figure would be an unverified claim under CON-007.</t>
  </si>
  <si>
    <t>SCP-020 (automated retention enforcement) is deferred as a consequence. Affects the M2 data model, since aggregated statistics must survive deletion of identifiable data.</t>
  </si>
  <si>
    <t>Retention guidance from the information officer, or a documented institutional retention standard</t>
  </si>
  <si>
    <t>DEC-006</t>
  </si>
  <si>
    <t>Limit mandatory capture fields at submission to category, location and description</t>
  </si>
  <si>
    <t>Capture full structured detail at submission; make all detail optional</t>
  </si>
  <si>
    <t>Resolution of CFL-001. Minimal mandatory capture protects submission speed for STK-001; category remains mandatory because the SCP-011 reporting depends on it.</t>
  </si>
  <si>
    <t>Reporting richness for STK-005 depends on post-submission detail being supplied. If uptake is poor, this decision may need revisiting through change control.</t>
  </si>
  <si>
    <t>DEC-007</t>
  </si>
  <si>
    <t>Exclude a native mobile application from the committed scope</t>
  </si>
  <si>
    <t>Native mobile in addition to web; native mobile instead of web</t>
  </si>
  <si>
    <t>A responsive web interface meets the access need within CON-002 and CON-004. A second build and release path is not supportable by three part-time students within the delivery period.</t>
  </si>
  <si>
    <t>Places a usability obligation on the web interface for mobile viewports, which becomes a quality attribute for Member B to specify measurably under CON-005.</t>
  </si>
  <si>
    <t>Decision Log</t>
  </si>
  <si>
    <t>Decisions and deferments taken during M1, the alternatives weighed, and what each one commits or blocks downstream</t>
  </si>
  <si>
    <t>—</t>
  </si>
  <si>
    <t>Decision status</t>
  </si>
  <si>
    <t>Decided</t>
  </si>
  <si>
    <t>Deferred — evidence outstanding</t>
  </si>
  <si>
    <t>Total logged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</si>
</sst>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b/>
      <sz val="11"/>
      <color theme="1"/>
      <name val="Aptos Narrow"/>
      <family val="2"/>
      <scheme val="minor"/>
    </font>
    <font>
      <sz val="8"/>
      <name val="Aptos Narrow"/>
      <family val="2"/>
      <scheme val="minor"/>
    </font>
    <font>
      <b/>
      <sz val="20"/>
      <color rgb="FF0F4761"/>
      <name val="Aptos Narrow"/>
      <family val="2"/>
      <scheme val="minor"/>
    </font>
    <font>
      <i/>
      <sz val="11"/>
      <color rgb="FF595959"/>
      <name val="Aptos Narrow"/>
      <family val="2"/>
      <scheme val="minor"/>
    </font>
    <font>
      <b/>
      <sz val="11"/>
      <color rgb="FFFFFFFF"/>
      <name val="Aptos Narrow"/>
      <family val="2"/>
      <scheme val="minor"/>
    </font>
    <font>
      <sz val="11"/>
      <color rgb="FF000000"/>
      <name val="Aptos Narrow"/>
      <family val="2"/>
      <scheme val="minor"/>
    </font>
    <font>
      <b/>
      <sz val="11"/>
      <color rgb="FF000000"/>
      <name val="Aptos Narrow"/>
      <family val="2"/>
      <scheme val="minor"/>
    </font>
    <font>
      <b/>
      <sz val="14"/>
      <color rgb="FF0F4761"/>
      <name val="Aptos Narrow"/>
      <family val="2"/>
      <scheme val="minor"/>
    </font>
    <font>
      <i/>
      <sz val="9"/>
      <color rgb="FF7F7F7F"/>
      <name val="Aptos Narrow"/>
      <family val="2"/>
      <scheme val="minor"/>
    </font>
    <font>
      <b/>
      <sz val="10"/>
      <color rgb="FFFFFFFF"/>
      <name val="Aptos Narrow"/>
      <family val="2"/>
      <scheme val="minor"/>
    </font>
    <font>
      <sz val="10"/>
      <color rgb="FF1A1A1A"/>
      <name val="Aptos Narrow"/>
      <family val="2"/>
      <scheme val="minor"/>
    </font>
    <font>
      <i/>
      <sz val="10"/>
      <color rgb="FF808080"/>
      <name val="Aptos Narrow"/>
      <family val="2"/>
      <scheme val="minor"/>
    </font>
    <font>
      <b/>
      <sz val="11"/>
      <color rgb="FF7A3E00"/>
      <name val="Aptos Narrow"/>
      <family val="2"/>
      <scheme val="minor"/>
    </font>
    <font>
      <b/>
      <sz val="9"/>
      <color rgb="FFFFFFFF"/>
      <name val="Aptos Narrow"/>
      <family val="2"/>
      <scheme val="minor"/>
    </font>
    <font>
      <sz val="10.5"/>
      <color rgb="FF000000"/>
      <name val="Aptos Narrow"/>
      <family val="2"/>
      <scheme val="minor"/>
    </font>
    <font>
      <b/>
      <sz val="10.5"/>
      <color rgb="FF000000"/>
      <name val="Aptos Narrow"/>
      <family val="2"/>
      <scheme val="minor"/>
    </font>
    <font>
      <sz val="10.5"/>
      <color rgb="FF1F6F8C"/>
      <name val="Aptos Narrow"/>
      <family val="2"/>
      <scheme val="minor"/>
    </font>
    <font>
      <b/>
      <sz val="12"/>
      <color rgb="FF0F4761"/>
      <name val="Aptos Narrow"/>
      <family val="2"/>
      <scheme val="minor"/>
    </font>
  </fonts>
  <fills count="10">
    <fill>
      <patternFill patternType="none"/>
    </fill>
    <fill>
      <patternFill patternType="gray125"/>
    </fill>
    <fill>
      <patternFill patternType="solid">
        <fgColor rgb="FF0F4761"/>
        <bgColor indexed="64"/>
      </patternFill>
    </fill>
    <fill>
      <patternFill patternType="solid">
        <fgColor rgb="FFEAF3F8"/>
        <bgColor indexed="64"/>
      </patternFill>
    </fill>
    <fill>
      <patternFill patternType="solid">
        <fgColor rgb="FF1F6F8C"/>
        <bgColor indexed="64"/>
      </patternFill>
    </fill>
    <fill>
      <patternFill patternType="solid">
        <fgColor rgb="FF8FA6B2"/>
        <bgColor indexed="64"/>
      </patternFill>
    </fill>
    <fill>
      <patternFill patternType="solid">
        <fgColor rgb="FFE4F1F8"/>
        <bgColor indexed="64"/>
      </patternFill>
    </fill>
    <fill>
      <patternFill patternType="solid">
        <fgColor rgb="FFCDE7F3"/>
        <bgColor indexed="64"/>
      </patternFill>
    </fill>
    <fill>
      <patternFill patternType="solid">
        <fgColor rgb="FFF2F2F2"/>
        <bgColor indexed="64"/>
      </patternFill>
    </fill>
    <fill>
      <patternFill patternType="solid">
        <fgColor rgb="FFFDEADA"/>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rgb="FFDCE9F0"/>
      </right>
      <top/>
      <bottom style="thin">
        <color rgb="FFBFD7E2"/>
      </bottom>
      <diagonal/>
    </border>
    <border>
      <left style="thin">
        <color rgb="FFDCE9F0"/>
      </left>
      <right style="thin">
        <color rgb="FFDCE9F0"/>
      </right>
      <top/>
      <bottom style="thin">
        <color rgb="FFBFD7E2"/>
      </bottom>
      <diagonal/>
    </border>
    <border>
      <left style="thin">
        <color rgb="FFDCE9F0"/>
      </left>
      <right/>
      <top/>
      <bottom style="thin">
        <color rgb="FFBFD7E2"/>
      </bottom>
      <diagonal/>
    </border>
    <border>
      <left/>
      <right style="thin">
        <color rgb="FFDCE9F0"/>
      </right>
      <top style="thin">
        <color rgb="FFBFD7E2"/>
      </top>
      <bottom style="thin">
        <color rgb="FFBFD7E2"/>
      </bottom>
      <diagonal/>
    </border>
    <border>
      <left style="thin">
        <color rgb="FFDCE9F0"/>
      </left>
      <right style="thin">
        <color rgb="FFDCE9F0"/>
      </right>
      <top style="thin">
        <color rgb="FFBFD7E2"/>
      </top>
      <bottom style="thin">
        <color rgb="FFBFD7E2"/>
      </bottom>
      <diagonal/>
    </border>
    <border>
      <left style="thin">
        <color rgb="FFDCE9F0"/>
      </left>
      <right/>
      <top style="thin">
        <color rgb="FFBFD7E2"/>
      </top>
      <bottom style="thin">
        <color rgb="FFBFD7E2"/>
      </bottom>
      <diagonal/>
    </border>
    <border>
      <left/>
      <right style="thin">
        <color rgb="FFDCE9F0"/>
      </right>
      <top style="thin">
        <color rgb="FFBFD7E2"/>
      </top>
      <bottom style="thin">
        <color rgb="FF0F4761"/>
      </bottom>
      <diagonal/>
    </border>
    <border>
      <left style="thin">
        <color rgb="FFDCE9F0"/>
      </left>
      <right style="thin">
        <color rgb="FFDCE9F0"/>
      </right>
      <top style="thin">
        <color rgb="FFBFD7E2"/>
      </top>
      <bottom style="thin">
        <color rgb="FF0F4761"/>
      </bottom>
      <diagonal/>
    </border>
    <border>
      <left style="thin">
        <color rgb="FFDCE9F0"/>
      </left>
      <right/>
      <top style="thin">
        <color rgb="FFBFD7E2"/>
      </top>
      <bottom style="thin">
        <color rgb="FF0F4761"/>
      </bottom>
      <diagonal/>
    </border>
    <border>
      <left style="thick">
        <color rgb="FFE8912A"/>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s>
  <cellStyleXfs count="1">
    <xf numFmtId="0" fontId="0" fillId="0" borderId="0"/>
  </cellStyleXfs>
  <cellXfs count="106">
    <xf numFmtId="0" fontId="0" fillId="0" borderId="0" xfId="0"/>
    <xf numFmtId="0" fontId="0" fillId="0" borderId="0" xfId="0" applyAlignment="1">
      <alignment horizontal="center" vertical="center"/>
    </xf>
    <xf numFmtId="0" fontId="11" fillId="8" borderId="0" xfId="0" applyFont="1" applyFill="1" applyAlignment="1">
      <alignment horizontal="center" vertical="center"/>
    </xf>
    <xf numFmtId="0" fontId="11" fillId="6" borderId="0" xfId="0" applyFont="1" applyFill="1" applyAlignment="1">
      <alignment horizontal="center" vertical="center"/>
    </xf>
    <xf numFmtId="0" fontId="11" fillId="8" borderId="6" xfId="0" applyFont="1" applyFill="1" applyBorder="1" applyAlignment="1">
      <alignment horizontal="center" vertical="center"/>
    </xf>
    <xf numFmtId="0" fontId="11" fillId="6" borderId="5" xfId="0" applyFont="1" applyFill="1" applyBorder="1" applyAlignment="1">
      <alignment horizontal="center" vertical="center"/>
    </xf>
    <xf numFmtId="0" fontId="11" fillId="6" borderId="6" xfId="0" applyFont="1" applyFill="1" applyBorder="1" applyAlignment="1">
      <alignment horizontal="center" vertical="center"/>
    </xf>
    <xf numFmtId="0" fontId="5" fillId="2" borderId="31" xfId="0" applyFont="1" applyFill="1" applyBorder="1" applyAlignment="1">
      <alignment horizontal="left" vertical="center" indent="1"/>
    </xf>
    <xf numFmtId="0" fontId="5" fillId="2" borderId="13" xfId="0" applyFont="1" applyFill="1" applyBorder="1" applyAlignment="1">
      <alignment horizontal="left" vertical="center" indent="1"/>
    </xf>
    <xf numFmtId="0" fontId="7" fillId="0" borderId="30" xfId="0" applyFont="1" applyBorder="1" applyAlignment="1">
      <alignment vertical="center" indent="1"/>
    </xf>
    <xf numFmtId="0" fontId="6" fillId="0" borderId="30" xfId="0" applyFont="1" applyBorder="1" applyAlignment="1">
      <alignment vertical="center" indent="1"/>
    </xf>
    <xf numFmtId="0" fontId="6" fillId="0" borderId="30" xfId="0" applyFont="1" applyBorder="1" applyAlignment="1">
      <alignment horizontal="center" vertical="center"/>
    </xf>
    <xf numFmtId="0" fontId="7" fillId="3" borderId="1" xfId="0" applyFont="1" applyFill="1" applyBorder="1" applyAlignment="1">
      <alignment vertical="center" indent="1"/>
    </xf>
    <xf numFmtId="0" fontId="6" fillId="3" borderId="1" xfId="0" applyFont="1" applyFill="1" applyBorder="1" applyAlignment="1">
      <alignment vertical="center" indent="1"/>
    </xf>
    <xf numFmtId="0" fontId="6" fillId="3" borderId="1" xfId="0" applyFont="1" applyFill="1" applyBorder="1" applyAlignment="1">
      <alignment horizontal="center" vertical="center"/>
    </xf>
    <xf numFmtId="0" fontId="7" fillId="0" borderId="1" xfId="0" applyFont="1" applyBorder="1" applyAlignment="1">
      <alignment vertical="center" indent="1"/>
    </xf>
    <xf numFmtId="0" fontId="6" fillId="0" borderId="1" xfId="0" applyFont="1" applyBorder="1" applyAlignment="1">
      <alignment vertical="center" indent="1"/>
    </xf>
    <xf numFmtId="0" fontId="6" fillId="0" borderId="1" xfId="0" applyFont="1" applyBorder="1" applyAlignment="1">
      <alignment horizontal="center" vertical="center"/>
    </xf>
    <xf numFmtId="0" fontId="5" fillId="2" borderId="0" xfId="0" applyFont="1" applyFill="1" applyAlignment="1">
      <alignment horizontal="left" vertical="center" wrapText="1" indent="1"/>
    </xf>
    <xf numFmtId="0" fontId="5" fillId="2" borderId="0" xfId="0" applyFont="1" applyFill="1" applyAlignment="1">
      <alignment horizontal="center" vertical="center" wrapText="1"/>
    </xf>
    <xf numFmtId="0" fontId="16" fillId="0" borderId="14" xfId="0" applyFont="1" applyBorder="1" applyAlignment="1">
      <alignment vertical="center" wrapText="1" indent="1"/>
    </xf>
    <xf numFmtId="0" fontId="15" fillId="0" borderId="15" xfId="0" applyFont="1" applyBorder="1" applyAlignment="1">
      <alignment vertical="center" wrapText="1" indent="1"/>
    </xf>
    <xf numFmtId="0" fontId="16" fillId="0" borderId="15" xfId="0" applyFont="1" applyBorder="1" applyAlignment="1">
      <alignment horizontal="center" vertical="center" wrapText="1"/>
    </xf>
    <xf numFmtId="0" fontId="17" fillId="0" borderId="16" xfId="0" applyFont="1" applyBorder="1" applyAlignment="1">
      <alignment vertical="center" indent="1"/>
    </xf>
    <xf numFmtId="0" fontId="16" fillId="3" borderId="17" xfId="0" applyFont="1" applyFill="1" applyBorder="1" applyAlignment="1">
      <alignment vertical="center" wrapText="1" indent="1"/>
    </xf>
    <xf numFmtId="0" fontId="15" fillId="3" borderId="18" xfId="0" applyFont="1" applyFill="1" applyBorder="1" applyAlignment="1">
      <alignment vertical="center" wrapText="1" indent="1"/>
    </xf>
    <xf numFmtId="0" fontId="16" fillId="3" borderId="18" xfId="0" applyFont="1" applyFill="1" applyBorder="1" applyAlignment="1">
      <alignment horizontal="center" vertical="center" wrapText="1"/>
    </xf>
    <xf numFmtId="0" fontId="17" fillId="3" borderId="19" xfId="0" applyFont="1" applyFill="1" applyBorder="1" applyAlignment="1">
      <alignment vertical="center" indent="1"/>
    </xf>
    <xf numFmtId="0" fontId="16" fillId="0" borderId="17" xfId="0" applyFont="1" applyBorder="1" applyAlignment="1">
      <alignment vertical="center" wrapText="1" indent="1"/>
    </xf>
    <xf numFmtId="0" fontId="15" fillId="0" borderId="18" xfId="0" applyFont="1" applyBorder="1" applyAlignment="1">
      <alignment vertical="center" wrapText="1" indent="1"/>
    </xf>
    <xf numFmtId="0" fontId="16" fillId="0" borderId="18" xfId="0" applyFont="1" applyBorder="1" applyAlignment="1">
      <alignment horizontal="center" vertical="center" wrapText="1"/>
    </xf>
    <xf numFmtId="0" fontId="17" fillId="0" borderId="19" xfId="0" applyFont="1" applyBorder="1" applyAlignment="1">
      <alignment vertical="center" indent="1"/>
    </xf>
    <xf numFmtId="0" fontId="16" fillId="3" borderId="20" xfId="0" applyFont="1" applyFill="1" applyBorder="1" applyAlignment="1">
      <alignment vertical="center" wrapText="1" indent="1"/>
    </xf>
    <xf numFmtId="0" fontId="15" fillId="3" borderId="21" xfId="0" applyFont="1" applyFill="1" applyBorder="1" applyAlignment="1">
      <alignment vertical="center" wrapText="1" indent="1"/>
    </xf>
    <xf numFmtId="0" fontId="16" fillId="3" borderId="21" xfId="0" applyFont="1" applyFill="1" applyBorder="1" applyAlignment="1">
      <alignment horizontal="center" vertical="center" wrapText="1"/>
    </xf>
    <xf numFmtId="0" fontId="17" fillId="3" borderId="22" xfId="0" applyFont="1" applyFill="1" applyBorder="1" applyAlignment="1">
      <alignment vertical="center" indent="1"/>
    </xf>
    <xf numFmtId="0" fontId="18" fillId="0" borderId="0" xfId="0" applyFont="1"/>
    <xf numFmtId="0" fontId="5" fillId="2" borderId="1" xfId="0" applyFont="1" applyFill="1" applyBorder="1" applyAlignment="1">
      <alignment horizontal="left" vertical="center" wrapText="1" indent="1"/>
    </xf>
    <xf numFmtId="0" fontId="5" fillId="2" borderId="1" xfId="0" applyFont="1" applyFill="1" applyBorder="1" applyAlignment="1">
      <alignment horizontal="center" vertical="center" wrapText="1" indent="1"/>
    </xf>
    <xf numFmtId="0" fontId="16" fillId="0" borderId="1" xfId="0" applyFont="1" applyBorder="1" applyAlignment="1">
      <alignment vertical="center" wrapText="1" indent="1"/>
    </xf>
    <xf numFmtId="0" fontId="15" fillId="0" borderId="1" xfId="0" applyFont="1" applyBorder="1" applyAlignment="1">
      <alignment vertical="center" wrapText="1" indent="1"/>
    </xf>
    <xf numFmtId="0" fontId="16" fillId="0" borderId="1" xfId="0" applyFont="1" applyBorder="1" applyAlignment="1">
      <alignment horizontal="center" vertical="center" wrapText="1"/>
    </xf>
    <xf numFmtId="0" fontId="17" fillId="0" borderId="1" xfId="0" applyFont="1" applyBorder="1" applyAlignment="1">
      <alignment vertical="center" wrapText="1" indent="1"/>
    </xf>
    <xf numFmtId="0" fontId="15" fillId="0" borderId="1" xfId="0" applyFont="1" applyBorder="1" applyAlignment="1">
      <alignment horizontal="center" vertical="center" wrapText="1"/>
    </xf>
    <xf numFmtId="0" fontId="16" fillId="3" borderId="1" xfId="0" applyFont="1" applyFill="1" applyBorder="1" applyAlignment="1">
      <alignment vertical="center" wrapText="1" indent="1"/>
    </xf>
    <xf numFmtId="0" fontId="15" fillId="3" borderId="1" xfId="0" applyFont="1" applyFill="1" applyBorder="1" applyAlignment="1">
      <alignment vertical="center" wrapText="1" indent="1"/>
    </xf>
    <xf numFmtId="0" fontId="16" fillId="3" borderId="1" xfId="0" applyFont="1" applyFill="1" applyBorder="1" applyAlignment="1">
      <alignment horizontal="center" vertical="center" wrapText="1"/>
    </xf>
    <xf numFmtId="0" fontId="17" fillId="3" borderId="1" xfId="0" applyFont="1" applyFill="1" applyBorder="1" applyAlignment="1">
      <alignment vertical="center" wrapText="1" indent="1"/>
    </xf>
    <xf numFmtId="0" fontId="15" fillId="3" borderId="1" xfId="0" applyFont="1" applyFill="1" applyBorder="1" applyAlignment="1">
      <alignment horizontal="center" vertical="center" wrapText="1"/>
    </xf>
    <xf numFmtId="0" fontId="0" fillId="3" borderId="1" xfId="0" applyFill="1" applyBorder="1" applyAlignment="1">
      <alignment indent="1"/>
    </xf>
    <xf numFmtId="0" fontId="1" fillId="3" borderId="1" xfId="0" applyFont="1" applyFill="1" applyBorder="1" applyAlignment="1">
      <alignment horizontal="center"/>
    </xf>
    <xf numFmtId="0" fontId="1" fillId="7" borderId="1" xfId="0" applyFont="1" applyFill="1" applyBorder="1" applyAlignment="1">
      <alignment indent="1"/>
    </xf>
    <xf numFmtId="0" fontId="1" fillId="7" borderId="1" xfId="0" applyFont="1" applyFill="1" applyBorder="1" applyAlignment="1">
      <alignment horizontal="center"/>
    </xf>
    <xf numFmtId="0" fontId="1" fillId="3" borderId="34" xfId="0" applyFont="1" applyFill="1" applyBorder="1" applyAlignment="1">
      <alignment horizontal="center" vertical="center"/>
    </xf>
    <xf numFmtId="0" fontId="1" fillId="3" borderId="37" xfId="0" applyFont="1" applyFill="1" applyBorder="1" applyAlignment="1">
      <alignment horizontal="center" vertical="center"/>
    </xf>
    <xf numFmtId="0" fontId="1" fillId="7" borderId="40" xfId="0" applyFont="1" applyFill="1" applyBorder="1" applyAlignment="1">
      <alignment horizontal="center" vertical="center"/>
    </xf>
    <xf numFmtId="0" fontId="17" fillId="0" borderId="1" xfId="0" applyFont="1" applyBorder="1" applyAlignment="1">
      <alignment horizontal="center" vertical="center" wrapText="1"/>
    </xf>
    <xf numFmtId="0" fontId="17"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7" borderId="1" xfId="0" applyFont="1" applyFill="1" applyBorder="1" applyAlignment="1">
      <alignment horizontal="center" vertical="center"/>
    </xf>
    <xf numFmtId="14" fontId="15" fillId="0" borderId="1" xfId="0" applyNumberFormat="1" applyFont="1" applyBorder="1" applyAlignment="1">
      <alignment horizontal="center" vertical="center" wrapText="1"/>
    </xf>
    <xf numFmtId="14" fontId="15" fillId="3" borderId="1" xfId="0" applyNumberFormat="1" applyFont="1" applyFill="1" applyBorder="1" applyAlignment="1">
      <alignment horizontal="center" vertical="center" wrapText="1"/>
    </xf>
    <xf numFmtId="0" fontId="3"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0" fontId="0" fillId="3" borderId="32" xfId="0" applyFill="1" applyBorder="1" applyAlignment="1">
      <alignment horizontal="left" vertical="center" indent="1"/>
    </xf>
    <xf numFmtId="0" fontId="0" fillId="3" borderId="33" xfId="0" applyFill="1" applyBorder="1" applyAlignment="1">
      <alignment horizontal="left" vertical="center" indent="1"/>
    </xf>
    <xf numFmtId="0" fontId="0" fillId="3" borderId="35" xfId="0" applyFill="1" applyBorder="1" applyAlignment="1">
      <alignment horizontal="left" vertical="center" indent="1"/>
    </xf>
    <xf numFmtId="0" fontId="0" fillId="3" borderId="36" xfId="0" applyFill="1" applyBorder="1" applyAlignment="1">
      <alignment horizontal="left" vertical="center" indent="1"/>
    </xf>
    <xf numFmtId="0" fontId="1" fillId="7" borderId="38" xfId="0" applyFont="1" applyFill="1" applyBorder="1" applyAlignment="1">
      <alignment horizontal="left" vertical="center" indent="1"/>
    </xf>
    <xf numFmtId="0" fontId="1" fillId="7" borderId="39" xfId="0" applyFont="1" applyFill="1" applyBorder="1" applyAlignment="1">
      <alignment horizontal="left" vertical="center" indent="1"/>
    </xf>
    <xf numFmtId="0" fontId="8" fillId="0" borderId="0" xfId="0" applyFont="1" applyAlignment="1">
      <alignment vertical="center"/>
    </xf>
    <xf numFmtId="0" fontId="0" fillId="0" borderId="0" xfId="0"/>
    <xf numFmtId="0" fontId="9" fillId="0" borderId="0" xfId="0" applyFont="1"/>
    <xf numFmtId="0" fontId="10" fillId="2" borderId="27" xfId="0" applyFont="1" applyFill="1" applyBorder="1" applyAlignment="1">
      <alignment horizontal="center" vertical="center" textRotation="90"/>
    </xf>
    <xf numFmtId="0" fontId="10" fillId="2" borderId="28" xfId="0" applyFont="1" applyFill="1" applyBorder="1" applyAlignment="1">
      <alignment horizontal="center" vertical="center" textRotation="90"/>
    </xf>
    <xf numFmtId="0" fontId="10" fillId="2" borderId="29" xfId="0" applyFont="1" applyFill="1" applyBorder="1" applyAlignment="1">
      <alignment horizontal="center" vertical="center" textRotation="90"/>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0" fillId="0" borderId="5" xfId="0" applyBorder="1"/>
    <xf numFmtId="0" fontId="0" fillId="0" borderId="6" xfId="0" applyBorder="1"/>
    <xf numFmtId="0" fontId="10" fillId="2" borderId="24" xfId="0" applyFont="1" applyFill="1" applyBorder="1" applyAlignment="1">
      <alignment horizontal="center" vertical="center"/>
    </xf>
    <xf numFmtId="0" fontId="10" fillId="2" borderId="25" xfId="0" applyFont="1" applyFill="1" applyBorder="1" applyAlignment="1">
      <alignment horizontal="center" vertical="center"/>
    </xf>
    <xf numFmtId="0" fontId="10" fillId="2" borderId="26" xfId="0" applyFont="1" applyFill="1" applyBorder="1" applyAlignment="1">
      <alignment horizontal="center" vertical="center"/>
    </xf>
    <xf numFmtId="0" fontId="13" fillId="9" borderId="24" xfId="0" applyFont="1" applyFill="1" applyBorder="1" applyAlignment="1">
      <alignment horizontal="center" vertical="center"/>
    </xf>
    <xf numFmtId="0" fontId="0" fillId="0" borderId="25" xfId="0" applyBorder="1"/>
    <xf numFmtId="0" fontId="0" fillId="0" borderId="26" xfId="0" applyBorder="1"/>
    <xf numFmtId="0" fontId="0" fillId="0" borderId="8" xfId="0" applyBorder="1"/>
    <xf numFmtId="0" fontId="0" fillId="0" borderId="9" xfId="0" applyBorder="1"/>
    <xf numFmtId="0" fontId="0" fillId="0" borderId="7" xfId="0" applyBorder="1"/>
    <xf numFmtId="0" fontId="12" fillId="0" borderId="0" xfId="0" applyFont="1"/>
    <xf numFmtId="0" fontId="14" fillId="2" borderId="27" xfId="0" applyFont="1" applyFill="1" applyBorder="1" applyAlignment="1">
      <alignment horizontal="center" vertical="center" textRotation="90"/>
    </xf>
    <xf numFmtId="0" fontId="14" fillId="2" borderId="28" xfId="0" applyFont="1" applyFill="1" applyBorder="1" applyAlignment="1">
      <alignment horizontal="center" vertical="center" textRotation="90"/>
    </xf>
    <xf numFmtId="0" fontId="14" fillId="2" borderId="29" xfId="0" applyFont="1" applyFill="1" applyBorder="1" applyAlignment="1">
      <alignment horizontal="center" vertical="center" textRotation="90"/>
    </xf>
    <xf numFmtId="0" fontId="5"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5" fillId="4" borderId="2" xfId="0" applyFont="1" applyFill="1" applyBorder="1" applyAlignment="1">
      <alignment horizontal="center" vertical="center"/>
    </xf>
    <xf numFmtId="0" fontId="13" fillId="9" borderId="23" xfId="0" applyFont="1" applyFill="1" applyBorder="1" applyAlignment="1">
      <alignment horizontal="center" vertical="center"/>
    </xf>
    <xf numFmtId="0" fontId="18" fillId="0" borderId="10" xfId="0" applyFont="1" applyBorder="1" applyAlignment="1">
      <alignment horizontal="center"/>
    </xf>
    <xf numFmtId="0" fontId="18" fillId="0" borderId="11" xfId="0" applyFont="1" applyBorder="1" applyAlignment="1">
      <alignment horizontal="center"/>
    </xf>
    <xf numFmtId="0" fontId="0" fillId="3" borderId="1" xfId="0" applyFill="1" applyBorder="1" applyAlignment="1">
      <alignment horizontal="left" vertical="center" indent="1"/>
    </xf>
    <xf numFmtId="0" fontId="1" fillId="7" borderId="1" xfId="0" applyFont="1" applyFill="1" applyBorder="1" applyAlignment="1">
      <alignment horizontal="left" vertical="center" indent="1"/>
    </xf>
    <xf numFmtId="0" fontId="18" fillId="0" borderId="12" xfId="0" applyFont="1" applyBorder="1" applyAlignment="1">
      <alignment horizontal="center"/>
    </xf>
  </cellXfs>
  <cellStyles count="1">
    <cellStyle name="Normal" xfId="0" builtinId="0"/>
  </cellStyles>
  <dxfs count="18">
    <dxf>
      <font>
        <color rgb="FF7A3E00"/>
      </font>
      <fill>
        <patternFill patternType="solid">
          <fgColor indexed="64"/>
          <bgColor rgb="FFFFF3D6"/>
        </patternFill>
      </fill>
    </dxf>
    <dxf>
      <font>
        <color rgb="FF1E6B2C"/>
      </font>
      <fill>
        <patternFill patternType="solid">
          <fgColor indexed="64"/>
          <bgColor rgb="FFE2F0E4"/>
        </patternFill>
      </fill>
    </dxf>
    <dxf>
      <font>
        <color rgb="FFA6A6A6"/>
      </font>
    </dxf>
    <dxf>
      <font>
        <color rgb="FFA6A6A6"/>
      </font>
    </dxf>
    <dxf>
      <font>
        <b/>
        <i val="0"/>
        <color rgb="FFA61B1B"/>
      </font>
      <fill>
        <patternFill patternType="solid">
          <fgColor indexed="64"/>
          <bgColor rgb="FFFBE3E3"/>
        </patternFill>
      </fill>
    </dxf>
    <dxf>
      <font>
        <b/>
        <i val="0"/>
        <color rgb="FF0F4761"/>
      </font>
      <fill>
        <patternFill patternType="solid">
          <fgColor indexed="64"/>
          <bgColor rgb="FFE4F1F8"/>
        </patternFill>
      </fill>
    </dxf>
    <dxf>
      <font>
        <b/>
        <i val="0"/>
        <color rgb="FF1E6B2C"/>
      </font>
      <fill>
        <patternFill patternType="solid">
          <fgColor indexed="64"/>
          <bgColor rgb="FFE2F0E4"/>
        </patternFill>
      </fill>
    </dxf>
    <dxf>
      <font>
        <b/>
        <i val="0"/>
        <color rgb="FF7A3E00"/>
      </font>
      <fill>
        <patternFill patternType="solid">
          <fgColor indexed="64"/>
          <bgColor rgb="FFFFF3D6"/>
        </patternFill>
      </fill>
    </dxf>
    <dxf>
      <font>
        <b/>
        <i val="0"/>
        <color rgb="FF4A2D80"/>
      </font>
      <fill>
        <patternFill patternType="solid">
          <fgColor indexed="64"/>
          <bgColor rgb="FFEDE7F8"/>
        </patternFill>
      </fill>
    </dxf>
    <dxf>
      <font>
        <b/>
        <i val="0"/>
        <color rgb="FF0F4761"/>
      </font>
      <fill>
        <patternFill patternType="solid">
          <fgColor indexed="64"/>
          <bgColor rgb="FFCDE7F3"/>
        </patternFill>
      </fill>
    </dxf>
    <dxf>
      <font>
        <b/>
        <i val="0"/>
        <color rgb="FF7A3E00"/>
      </font>
      <fill>
        <patternFill patternType="solid">
          <fgColor indexed="64"/>
          <bgColor rgb="FFFFF3D6"/>
        </patternFill>
      </fill>
    </dxf>
    <dxf>
      <font>
        <b/>
        <i val="0"/>
        <color rgb="FF1E6B2C"/>
      </font>
      <fill>
        <patternFill patternType="solid">
          <fgColor indexed="64"/>
          <bgColor rgb="FFE2F0E4"/>
        </patternFill>
      </fill>
    </dxf>
    <dxf>
      <font>
        <b/>
        <i val="0"/>
        <color rgb="FFA61B1B"/>
      </font>
      <fill>
        <patternFill patternType="solid">
          <fgColor indexed="64"/>
          <bgColor rgb="FFFBE3E3"/>
        </patternFill>
      </fill>
    </dxf>
    <dxf>
      <font>
        <color rgb="FF0F4761"/>
      </font>
      <fill>
        <patternFill patternType="solid">
          <fgColor indexed="64"/>
          <bgColor rgb="FFE4F1F8"/>
        </patternFill>
      </fill>
    </dxf>
    <dxf>
      <font>
        <color rgb="FF7A3E00"/>
      </font>
      <fill>
        <patternFill patternType="solid">
          <fgColor indexed="64"/>
          <bgColor rgb="FFFFF3D6"/>
        </patternFill>
      </fill>
    </dxf>
    <dxf>
      <font>
        <b/>
        <i val="0"/>
        <color rgb="FF4D4D4D"/>
      </font>
      <fill>
        <patternFill patternType="solid">
          <fgColor indexed="64"/>
          <bgColor rgb="FFEFEFEF"/>
        </patternFill>
      </fill>
    </dxf>
    <dxf>
      <font>
        <b/>
        <i val="0"/>
        <color rgb="FF8A5A00"/>
      </font>
      <fill>
        <patternFill patternType="solid">
          <fgColor indexed="64"/>
          <bgColor rgb="FFFFF3D6"/>
        </patternFill>
      </fill>
    </dxf>
    <dxf>
      <font>
        <b/>
        <i val="0"/>
        <color rgb="FFC00000"/>
      </font>
      <fill>
        <patternFill patternType="solid">
          <fgColor indexed="64"/>
          <bgColor rgb="FFFCE4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01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C734420-6F83-4D4C-8B08-66C0C390E35B}">
  <we:reference id="wa200010725" version="1.0.0.1" store="en-US" storeType="OMEX"/>
  <we:alternateReferences>
    <we:reference id="wa200010725" version="1.0.0.1" store="en-US" storeType="OMEX"/>
  </we:alternateReferences>
  <we:properties>
    <we:property name="claude.fileId" value="&quot;4304f0fd-ff1b-421d-ace6-4632267a42f7&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F1ED5-01A0-4016-A4B8-51A266B26E6F}">
  <dimension ref="A1:R40"/>
  <sheetViews>
    <sheetView showGridLines="0" zoomScale="85" zoomScaleNormal="85" workbookViewId="0">
      <selection activeCell="L17" sqref="L17"/>
    </sheetView>
  </sheetViews>
  <sheetFormatPr defaultRowHeight="14.4" x14ac:dyDescent="0.3"/>
  <cols>
    <col min="1" max="1" width="2.21875" style="1" customWidth="1"/>
    <col min="2" max="2" width="11.44140625" style="1" customWidth="1"/>
    <col min="3" max="3" width="33.6640625" style="1" bestFit="1" customWidth="1"/>
    <col min="4" max="4" width="45.5546875" style="1" bestFit="1" customWidth="1"/>
    <col min="5" max="5" width="73.88671875" style="1" bestFit="1" customWidth="1"/>
    <col min="6" max="6" width="13.33203125" style="1" customWidth="1"/>
    <col min="7" max="7" width="12.5546875" style="1" customWidth="1"/>
    <col min="8" max="8" width="68" style="1" bestFit="1" customWidth="1"/>
    <col min="9" max="11" width="8.88671875" style="1"/>
    <col min="12" max="12" width="10.5546875" style="1" customWidth="1"/>
    <col min="13" max="16384" width="8.88671875" style="1"/>
  </cols>
  <sheetData>
    <row r="1" spans="1:18" ht="30" customHeight="1" x14ac:dyDescent="0.3">
      <c r="A1"/>
      <c r="B1" s="62" t="s">
        <v>44</v>
      </c>
      <c r="C1" s="63"/>
      <c r="D1" s="63"/>
      <c r="E1" s="63"/>
      <c r="F1" s="63"/>
      <c r="G1" s="63"/>
      <c r="H1" s="63"/>
      <c r="I1"/>
      <c r="J1"/>
      <c r="K1"/>
      <c r="L1"/>
      <c r="M1"/>
      <c r="N1"/>
      <c r="O1"/>
      <c r="P1"/>
      <c r="Q1"/>
      <c r="R1"/>
    </row>
    <row r="2" spans="1:18" x14ac:dyDescent="0.3">
      <c r="A2"/>
      <c r="B2" s="64" t="s">
        <v>45</v>
      </c>
      <c r="C2" s="63"/>
      <c r="D2" s="63"/>
      <c r="E2" s="63"/>
      <c r="F2" s="63"/>
      <c r="G2" s="63"/>
      <c r="H2" s="63"/>
      <c r="I2"/>
      <c r="J2"/>
      <c r="K2"/>
      <c r="L2"/>
      <c r="M2"/>
      <c r="N2"/>
      <c r="O2"/>
      <c r="P2"/>
      <c r="Q2"/>
      <c r="R2"/>
    </row>
    <row r="3" spans="1:18" x14ac:dyDescent="0.3">
      <c r="A3"/>
      <c r="B3"/>
      <c r="C3"/>
      <c r="D3"/>
      <c r="E3"/>
      <c r="F3"/>
      <c r="G3"/>
      <c r="H3"/>
      <c r="I3"/>
      <c r="J3"/>
      <c r="K3"/>
      <c r="L3"/>
      <c r="M3"/>
      <c r="N3"/>
      <c r="O3"/>
      <c r="P3"/>
      <c r="Q3"/>
      <c r="R3"/>
    </row>
    <row r="4" spans="1:18" ht="25.95" customHeight="1" x14ac:dyDescent="0.3">
      <c r="A4"/>
      <c r="B4" s="7" t="s">
        <v>0</v>
      </c>
      <c r="C4" s="7" t="s">
        <v>1</v>
      </c>
      <c r="D4" s="7" t="s">
        <v>46</v>
      </c>
      <c r="E4" s="7" t="s">
        <v>47</v>
      </c>
      <c r="F4" s="7" t="s">
        <v>30</v>
      </c>
      <c r="G4" s="7" t="s">
        <v>34</v>
      </c>
      <c r="H4" s="8" t="s">
        <v>42</v>
      </c>
      <c r="I4"/>
      <c r="J4"/>
      <c r="K4"/>
      <c r="L4"/>
      <c r="M4"/>
      <c r="N4"/>
      <c r="O4"/>
      <c r="P4"/>
      <c r="Q4"/>
      <c r="R4"/>
    </row>
    <row r="5" spans="1:18" ht="22.05" customHeight="1" x14ac:dyDescent="0.3">
      <c r="A5"/>
      <c r="B5" s="9" t="s">
        <v>2</v>
      </c>
      <c r="C5" s="10" t="s">
        <v>48</v>
      </c>
      <c r="D5" s="10" t="s">
        <v>22</v>
      </c>
      <c r="E5" s="10" t="s">
        <v>49</v>
      </c>
      <c r="F5" s="11" t="s">
        <v>33</v>
      </c>
      <c r="G5" s="11" t="s">
        <v>31</v>
      </c>
      <c r="H5" s="10" t="s">
        <v>66</v>
      </c>
      <c r="I5"/>
      <c r="J5"/>
      <c r="K5"/>
      <c r="L5"/>
      <c r="M5"/>
      <c r="N5"/>
      <c r="O5"/>
      <c r="P5"/>
      <c r="Q5"/>
      <c r="R5"/>
    </row>
    <row r="6" spans="1:18" ht="22.05" customHeight="1" x14ac:dyDescent="0.3">
      <c r="A6"/>
      <c r="B6" s="12" t="s">
        <v>3</v>
      </c>
      <c r="C6" s="13" t="s">
        <v>50</v>
      </c>
      <c r="D6" s="13" t="s">
        <v>16</v>
      </c>
      <c r="E6" s="13" t="s">
        <v>51</v>
      </c>
      <c r="F6" s="14" t="s">
        <v>32</v>
      </c>
      <c r="G6" s="14" t="s">
        <v>31</v>
      </c>
      <c r="H6" s="13" t="s">
        <v>67</v>
      </c>
      <c r="I6"/>
      <c r="J6"/>
      <c r="K6"/>
      <c r="L6"/>
      <c r="M6"/>
      <c r="N6"/>
      <c r="O6"/>
      <c r="P6"/>
      <c r="Q6"/>
      <c r="R6"/>
    </row>
    <row r="7" spans="1:18" ht="22.05" customHeight="1" x14ac:dyDescent="0.3">
      <c r="A7"/>
      <c r="B7" s="15" t="s">
        <v>4</v>
      </c>
      <c r="C7" s="16" t="s">
        <v>11</v>
      </c>
      <c r="D7" s="16" t="s">
        <v>17</v>
      </c>
      <c r="E7" s="16" t="s">
        <v>52</v>
      </c>
      <c r="F7" s="17" t="s">
        <v>32</v>
      </c>
      <c r="G7" s="17" t="s">
        <v>31</v>
      </c>
      <c r="H7" s="16" t="s">
        <v>68</v>
      </c>
      <c r="I7"/>
      <c r="J7"/>
      <c r="K7"/>
      <c r="L7"/>
      <c r="M7"/>
      <c r="N7"/>
      <c r="O7"/>
      <c r="P7"/>
      <c r="Q7"/>
      <c r="R7"/>
    </row>
    <row r="8" spans="1:18" ht="22.05" customHeight="1" x14ac:dyDescent="0.3">
      <c r="A8"/>
      <c r="B8" s="12" t="s">
        <v>5</v>
      </c>
      <c r="C8" s="13" t="s">
        <v>12</v>
      </c>
      <c r="D8" s="13" t="s">
        <v>18</v>
      </c>
      <c r="E8" s="13" t="s">
        <v>23</v>
      </c>
      <c r="F8" s="14" t="s">
        <v>32</v>
      </c>
      <c r="G8" s="14" t="s">
        <v>31</v>
      </c>
      <c r="H8" s="13" t="s">
        <v>43</v>
      </c>
      <c r="I8"/>
      <c r="J8"/>
      <c r="K8"/>
      <c r="L8"/>
      <c r="M8"/>
      <c r="N8"/>
      <c r="O8"/>
      <c r="P8"/>
      <c r="Q8"/>
      <c r="R8"/>
    </row>
    <row r="9" spans="1:18" ht="22.05" customHeight="1" x14ac:dyDescent="0.3">
      <c r="A9"/>
      <c r="B9" s="15" t="s">
        <v>6</v>
      </c>
      <c r="C9" s="16" t="s">
        <v>53</v>
      </c>
      <c r="D9" s="16" t="s">
        <v>19</v>
      </c>
      <c r="E9" s="16" t="s">
        <v>24</v>
      </c>
      <c r="F9" s="17" t="s">
        <v>31</v>
      </c>
      <c r="G9" s="17" t="s">
        <v>31</v>
      </c>
      <c r="H9" s="16" t="s">
        <v>69</v>
      </c>
      <c r="I9"/>
      <c r="J9"/>
      <c r="K9"/>
      <c r="L9"/>
      <c r="M9"/>
      <c r="N9"/>
      <c r="O9"/>
      <c r="P9"/>
      <c r="Q9"/>
      <c r="R9"/>
    </row>
    <row r="10" spans="1:18" ht="22.05" customHeight="1" x14ac:dyDescent="0.3">
      <c r="A10"/>
      <c r="B10" s="12" t="s">
        <v>7</v>
      </c>
      <c r="C10" s="13" t="s">
        <v>14</v>
      </c>
      <c r="D10" s="13" t="s">
        <v>20</v>
      </c>
      <c r="E10" s="13" t="s">
        <v>25</v>
      </c>
      <c r="F10" s="14" t="s">
        <v>32</v>
      </c>
      <c r="G10" s="14" t="s">
        <v>32</v>
      </c>
      <c r="H10" s="13" t="s">
        <v>70</v>
      </c>
      <c r="I10"/>
      <c r="J10"/>
      <c r="K10"/>
      <c r="L10"/>
      <c r="M10"/>
      <c r="N10"/>
      <c r="O10"/>
      <c r="P10"/>
      <c r="Q10"/>
      <c r="R10"/>
    </row>
    <row r="11" spans="1:18" ht="22.05" customHeight="1" x14ac:dyDescent="0.3">
      <c r="A11"/>
      <c r="B11" s="15" t="s">
        <v>8</v>
      </c>
      <c r="C11" s="16" t="s">
        <v>54</v>
      </c>
      <c r="D11" s="16" t="s">
        <v>21</v>
      </c>
      <c r="E11" s="16" t="s">
        <v>26</v>
      </c>
      <c r="F11" s="17" t="s">
        <v>32</v>
      </c>
      <c r="G11" s="17" t="s">
        <v>32</v>
      </c>
      <c r="H11" s="16" t="s">
        <v>71</v>
      </c>
      <c r="I11"/>
      <c r="J11"/>
      <c r="K11"/>
      <c r="L11"/>
      <c r="M11"/>
      <c r="N11"/>
      <c r="O11"/>
      <c r="P11"/>
      <c r="Q11"/>
      <c r="R11"/>
    </row>
    <row r="12" spans="1:18" ht="22.05" customHeight="1" x14ac:dyDescent="0.3">
      <c r="A12"/>
      <c r="B12" s="12" t="s">
        <v>9</v>
      </c>
      <c r="C12" s="13" t="s">
        <v>13</v>
      </c>
      <c r="D12" s="13" t="s">
        <v>55</v>
      </c>
      <c r="E12" s="13" t="s">
        <v>27</v>
      </c>
      <c r="F12" s="14" t="s">
        <v>31</v>
      </c>
      <c r="G12" s="14" t="s">
        <v>32</v>
      </c>
      <c r="H12" s="13" t="s">
        <v>72</v>
      </c>
      <c r="I12"/>
      <c r="J12"/>
      <c r="K12"/>
      <c r="L12"/>
      <c r="M12"/>
      <c r="N12"/>
      <c r="O12"/>
      <c r="P12"/>
      <c r="Q12"/>
      <c r="R12"/>
    </row>
    <row r="13" spans="1:18" ht="22.05" customHeight="1" x14ac:dyDescent="0.3">
      <c r="A13"/>
      <c r="B13" s="15" t="s">
        <v>10</v>
      </c>
      <c r="C13" s="16" t="s">
        <v>15</v>
      </c>
      <c r="D13" s="16" t="s">
        <v>56</v>
      </c>
      <c r="E13" s="16" t="s">
        <v>28</v>
      </c>
      <c r="F13" s="17" t="s">
        <v>31</v>
      </c>
      <c r="G13" s="17" t="s">
        <v>33</v>
      </c>
      <c r="H13" s="16" t="s">
        <v>57</v>
      </c>
      <c r="I13"/>
      <c r="J13"/>
      <c r="K13"/>
      <c r="L13"/>
      <c r="M13"/>
      <c r="N13"/>
      <c r="O13"/>
      <c r="P13"/>
      <c r="Q13"/>
      <c r="R13"/>
    </row>
    <row r="14" spans="1:18" x14ac:dyDescent="0.3">
      <c r="A14"/>
      <c r="B14"/>
      <c r="C14"/>
      <c r="D14"/>
      <c r="E14"/>
      <c r="F14"/>
      <c r="G14"/>
      <c r="H14"/>
      <c r="I14"/>
      <c r="J14"/>
      <c r="K14"/>
      <c r="L14"/>
      <c r="M14"/>
      <c r="N14"/>
      <c r="O14"/>
      <c r="P14"/>
      <c r="Q14"/>
      <c r="R14"/>
    </row>
    <row r="15" spans="1:18" ht="28.05" customHeight="1" x14ac:dyDescent="0.3">
      <c r="A15"/>
      <c r="B15" s="71" t="s">
        <v>58</v>
      </c>
      <c r="C15" s="72"/>
      <c r="D15" s="72"/>
      <c r="E15" s="72"/>
      <c r="F15" s="72"/>
      <c r="G15" s="72"/>
      <c r="H15" s="72"/>
      <c r="I15"/>
      <c r="J15"/>
      <c r="K15"/>
      <c r="L15"/>
      <c r="M15"/>
      <c r="N15"/>
      <c r="O15"/>
      <c r="P15"/>
      <c r="Q15"/>
      <c r="R15"/>
    </row>
    <row r="16" spans="1:18" x14ac:dyDescent="0.3">
      <c r="A16"/>
      <c r="B16" s="73" t="s">
        <v>59</v>
      </c>
      <c r="C16" s="72"/>
      <c r="D16" s="72"/>
      <c r="E16" s="72"/>
      <c r="F16" s="72"/>
      <c r="G16" s="72"/>
      <c r="H16" s="72"/>
      <c r="I16"/>
      <c r="J16"/>
      <c r="K16"/>
      <c r="L16"/>
      <c r="M16"/>
      <c r="N16"/>
      <c r="O16"/>
      <c r="P16"/>
      <c r="Q16"/>
      <c r="R16"/>
    </row>
    <row r="17" spans="1:18" ht="14.4" customHeight="1" thickBot="1" x14ac:dyDescent="0.35">
      <c r="A17"/>
      <c r="B17"/>
      <c r="C17"/>
      <c r="D17"/>
      <c r="E17"/>
      <c r="F17"/>
      <c r="G17"/>
      <c r="H17"/>
      <c r="I17"/>
      <c r="J17"/>
      <c r="K17"/>
      <c r="L17"/>
      <c r="M17"/>
      <c r="N17"/>
      <c r="O17"/>
      <c r="P17"/>
      <c r="Q17"/>
      <c r="R17"/>
    </row>
    <row r="18" spans="1:18" ht="24" customHeight="1" x14ac:dyDescent="0.3">
      <c r="A18"/>
      <c r="B18" s="74" t="s">
        <v>60</v>
      </c>
      <c r="C18" s="77" t="s">
        <v>35</v>
      </c>
      <c r="D18" s="77"/>
      <c r="E18" s="78"/>
      <c r="F18" s="79" t="s">
        <v>36</v>
      </c>
      <c r="G18" s="80"/>
      <c r="H18" s="81"/>
      <c r="I18"/>
      <c r="J18"/>
      <c r="K18"/>
      <c r="L18"/>
      <c r="M18"/>
      <c r="N18"/>
      <c r="O18"/>
      <c r="P18"/>
      <c r="Q18"/>
      <c r="R18"/>
    </row>
    <row r="19" spans="1:18" ht="22.05" customHeight="1" x14ac:dyDescent="0.3">
      <c r="A19"/>
      <c r="B19" s="75"/>
      <c r="C19" s="72" t="str">
        <f>$B$10&amp;"   ·   "&amp;$C$10</f>
        <v>STK-006   ·   Campus security officer</v>
      </c>
      <c r="D19" s="72"/>
      <c r="E19" s="83"/>
      <c r="F19" s="82" t="str">
        <f>$B$6&amp;"   ·   "&amp;$C$6</f>
        <v>STK-002   ·   Facilities / maintenance technician</v>
      </c>
      <c r="G19" s="72"/>
      <c r="H19" s="83"/>
      <c r="I19"/>
      <c r="J19"/>
      <c r="K19"/>
      <c r="L19"/>
      <c r="M19"/>
      <c r="N19"/>
      <c r="O19"/>
      <c r="P19"/>
      <c r="Q19"/>
      <c r="R19"/>
    </row>
    <row r="20" spans="1:18" ht="22.05" customHeight="1" x14ac:dyDescent="0.3">
      <c r="A20"/>
      <c r="B20" s="75"/>
      <c r="C20" s="72" t="str">
        <f>$B$11&amp;"   ·   "&amp;$C$11</f>
        <v>STK-007   ·   System administrator</v>
      </c>
      <c r="D20" s="72"/>
      <c r="E20" s="83"/>
      <c r="F20" s="82" t="str">
        <f>$B$7&amp;"   ·   "&amp;$C$7</f>
        <v>STK-003   ·   IT support technician</v>
      </c>
      <c r="G20" s="72"/>
      <c r="H20" s="83"/>
      <c r="I20"/>
      <c r="J20"/>
      <c r="K20"/>
      <c r="L20"/>
      <c r="M20"/>
      <c r="N20"/>
      <c r="O20"/>
      <c r="P20"/>
      <c r="Q20"/>
      <c r="R20"/>
    </row>
    <row r="21" spans="1:18" ht="22.05" customHeight="1" x14ac:dyDescent="0.3">
      <c r="A21"/>
      <c r="B21" s="75"/>
      <c r="C21" s="72" t="str">
        <f>$B$12&amp;"   ·   "&amp;$C$12</f>
        <v>STK-008   ·   Campus executive sponsor</v>
      </c>
      <c r="D21" s="72"/>
      <c r="E21" s="83"/>
      <c r="F21" s="82" t="str">
        <f>$B$8&amp;"   ·   "&amp;$C$8</f>
        <v>STK-004   ·   Service desk coordinator</v>
      </c>
      <c r="G21" s="72"/>
      <c r="H21" s="83"/>
      <c r="I21"/>
      <c r="J21"/>
      <c r="K21"/>
      <c r="L21"/>
      <c r="M21"/>
      <c r="N21"/>
      <c r="O21"/>
      <c r="P21"/>
      <c r="Q21"/>
      <c r="R21"/>
    </row>
    <row r="22" spans="1:18" ht="22.05" customHeight="1" thickBot="1" x14ac:dyDescent="0.35">
      <c r="A22"/>
      <c r="B22" s="76"/>
      <c r="C22" s="90" t="str">
        <f>$B$13&amp;"   ·   "&amp;$C$13</f>
        <v>STK-009   ·   Information officer / POPIA compliance</v>
      </c>
      <c r="D22" s="90"/>
      <c r="E22" s="91"/>
      <c r="F22" s="92" t="str">
        <f>$B$9&amp;"   ·   "&amp;$C$9</f>
        <v>STK-005   ·   Operations manager</v>
      </c>
      <c r="G22" s="90"/>
      <c r="H22" s="91"/>
      <c r="I22"/>
      <c r="J22"/>
      <c r="K22"/>
      <c r="L22"/>
      <c r="M22"/>
      <c r="N22"/>
      <c r="O22"/>
      <c r="P22"/>
      <c r="Q22"/>
      <c r="R22"/>
    </row>
    <row r="23" spans="1:18" ht="14.4" customHeight="1" thickBot="1" x14ac:dyDescent="0.35">
      <c r="A23"/>
      <c r="B23"/>
      <c r="C23"/>
      <c r="D23"/>
      <c r="E23"/>
      <c r="F23"/>
      <c r="G23"/>
      <c r="H23"/>
      <c r="I23"/>
      <c r="J23"/>
      <c r="K23"/>
      <c r="L23"/>
      <c r="M23"/>
      <c r="N23"/>
      <c r="O23"/>
      <c r="P23"/>
      <c r="Q23"/>
      <c r="R23"/>
    </row>
    <row r="24" spans="1:18" ht="24" customHeight="1" x14ac:dyDescent="0.3">
      <c r="A24"/>
      <c r="B24" s="94" t="s">
        <v>65</v>
      </c>
      <c r="C24" s="97" t="s">
        <v>39</v>
      </c>
      <c r="D24" s="97"/>
      <c r="E24" s="98"/>
      <c r="F24" s="99" t="s">
        <v>40</v>
      </c>
      <c r="G24" s="77"/>
      <c r="H24" s="78"/>
      <c r="I24"/>
      <c r="J24"/>
      <c r="K24"/>
      <c r="L24"/>
      <c r="M24"/>
      <c r="N24"/>
      <c r="O24"/>
      <c r="P24"/>
      <c r="Q24"/>
      <c r="R24"/>
    </row>
    <row r="25" spans="1:18" ht="22.05" customHeight="1" x14ac:dyDescent="0.3">
      <c r="A25"/>
      <c r="B25" s="95"/>
      <c r="C25" s="93" t="s">
        <v>61</v>
      </c>
      <c r="D25" s="72"/>
      <c r="E25" s="83"/>
      <c r="F25" s="82" t="str">
        <f>$B$5&amp;"   ·   "&amp;$C$5</f>
        <v>STK-001   ·   Student / staff requester</v>
      </c>
      <c r="G25" s="72"/>
      <c r="H25" s="83"/>
      <c r="I25"/>
      <c r="J25"/>
      <c r="K25"/>
      <c r="L25"/>
      <c r="M25"/>
      <c r="N25"/>
      <c r="O25"/>
      <c r="P25"/>
      <c r="Q25"/>
      <c r="R25"/>
    </row>
    <row r="26" spans="1:18" ht="22.05" customHeight="1" thickBot="1" x14ac:dyDescent="0.35">
      <c r="A26"/>
      <c r="B26" s="96"/>
      <c r="C26" s="2"/>
      <c r="D26" s="2"/>
      <c r="E26" s="4"/>
      <c r="F26" s="5"/>
      <c r="G26" s="3"/>
      <c r="H26" s="6"/>
      <c r="I26"/>
      <c r="J26"/>
      <c r="K26"/>
      <c r="L26"/>
      <c r="M26"/>
      <c r="N26"/>
      <c r="O26"/>
      <c r="P26"/>
      <c r="Q26"/>
      <c r="R26"/>
    </row>
    <row r="27" spans="1:18" ht="19.95" customHeight="1" thickBot="1" x14ac:dyDescent="0.35">
      <c r="A27"/>
      <c r="B27"/>
      <c r="C27" s="84" t="s">
        <v>62</v>
      </c>
      <c r="D27" s="85"/>
      <c r="E27" s="86"/>
      <c r="F27" s="84" t="s">
        <v>63</v>
      </c>
      <c r="G27" s="85"/>
      <c r="H27" s="86"/>
      <c r="I27"/>
      <c r="J27"/>
      <c r="K27"/>
      <c r="L27"/>
      <c r="M27"/>
      <c r="N27"/>
      <c r="O27"/>
      <c r="P27"/>
      <c r="Q27"/>
      <c r="R27"/>
    </row>
    <row r="28" spans="1:18" ht="15" thickBot="1" x14ac:dyDescent="0.35">
      <c r="A28"/>
      <c r="B28"/>
      <c r="C28"/>
      <c r="D28"/>
      <c r="E28"/>
      <c r="F28"/>
      <c r="G28"/>
      <c r="H28"/>
      <c r="I28"/>
      <c r="J28"/>
      <c r="K28"/>
      <c r="L28"/>
      <c r="M28"/>
      <c r="N28"/>
      <c r="O28"/>
      <c r="P28"/>
      <c r="Q28"/>
      <c r="R28"/>
    </row>
    <row r="29" spans="1:18" ht="30" customHeight="1" thickBot="1" x14ac:dyDescent="0.35">
      <c r="A29"/>
      <c r="B29" s="87" t="s">
        <v>64</v>
      </c>
      <c r="C29" s="88"/>
      <c r="D29" s="88"/>
      <c r="E29" s="88"/>
      <c r="F29" s="88"/>
      <c r="G29" s="88"/>
      <c r="H29" s="89"/>
      <c r="I29"/>
      <c r="J29"/>
      <c r="K29"/>
      <c r="L29"/>
      <c r="M29"/>
      <c r="N29"/>
      <c r="O29"/>
      <c r="P29"/>
      <c r="Q29"/>
      <c r="R29"/>
    </row>
    <row r="30" spans="1:18" x14ac:dyDescent="0.3">
      <c r="A30"/>
      <c r="B30"/>
      <c r="C30"/>
      <c r="D30"/>
      <c r="E30"/>
      <c r="F30"/>
      <c r="G30"/>
      <c r="H30"/>
      <c r="I30"/>
      <c r="J30"/>
      <c r="K30"/>
      <c r="L30"/>
      <c r="M30"/>
      <c r="N30"/>
      <c r="O30"/>
      <c r="P30"/>
      <c r="Q30"/>
      <c r="R30"/>
    </row>
    <row r="31" spans="1:18" x14ac:dyDescent="0.3">
      <c r="A31"/>
      <c r="B31"/>
      <c r="C31"/>
      <c r="D31"/>
      <c r="E31"/>
      <c r="F31"/>
      <c r="G31"/>
      <c r="H31"/>
      <c r="I31"/>
      <c r="J31"/>
      <c r="K31"/>
      <c r="L31"/>
      <c r="M31"/>
      <c r="N31"/>
      <c r="O31"/>
      <c r="P31"/>
      <c r="Q31"/>
      <c r="R31"/>
    </row>
    <row r="32" spans="1:18" x14ac:dyDescent="0.3">
      <c r="A32"/>
      <c r="B32"/>
      <c r="C32"/>
      <c r="D32"/>
      <c r="E32"/>
      <c r="F32"/>
      <c r="G32"/>
      <c r="H32"/>
      <c r="I32"/>
      <c r="J32"/>
      <c r="K32"/>
      <c r="L32"/>
      <c r="M32"/>
      <c r="N32"/>
      <c r="O32"/>
      <c r="P32"/>
      <c r="Q32"/>
      <c r="R32"/>
    </row>
    <row r="33" spans="1:18" x14ac:dyDescent="0.3">
      <c r="A33"/>
      <c r="B33"/>
      <c r="C33"/>
      <c r="D33"/>
      <c r="E33"/>
      <c r="F33"/>
      <c r="G33"/>
      <c r="H33"/>
      <c r="I33"/>
      <c r="J33"/>
      <c r="K33"/>
      <c r="L33"/>
      <c r="M33"/>
      <c r="N33"/>
      <c r="O33"/>
      <c r="P33"/>
      <c r="Q33"/>
      <c r="R33"/>
    </row>
    <row r="34" spans="1:18" x14ac:dyDescent="0.3">
      <c r="A34"/>
      <c r="B34"/>
      <c r="C34"/>
      <c r="D34"/>
      <c r="E34"/>
      <c r="F34"/>
      <c r="G34"/>
      <c r="H34"/>
      <c r="I34"/>
      <c r="J34"/>
      <c r="K34"/>
      <c r="L34"/>
      <c r="M34"/>
      <c r="N34"/>
      <c r="O34"/>
      <c r="P34"/>
      <c r="Q34"/>
      <c r="R34"/>
    </row>
    <row r="35" spans="1:18" x14ac:dyDescent="0.3">
      <c r="A35"/>
      <c r="B35"/>
      <c r="C35"/>
      <c r="D35"/>
      <c r="E35"/>
      <c r="F35"/>
      <c r="G35"/>
      <c r="H35"/>
      <c r="I35"/>
      <c r="J35"/>
      <c r="K35"/>
      <c r="L35"/>
      <c r="M35"/>
      <c r="N35"/>
      <c r="O35"/>
      <c r="P35"/>
      <c r="Q35"/>
      <c r="R35"/>
    </row>
    <row r="36" spans="1:18" x14ac:dyDescent="0.3">
      <c r="A36"/>
      <c r="B36"/>
      <c r="C36"/>
      <c r="D36"/>
      <c r="E36"/>
      <c r="F36"/>
      <c r="G36"/>
      <c r="H36"/>
      <c r="I36"/>
      <c r="J36"/>
      <c r="K36"/>
      <c r="L36"/>
      <c r="M36"/>
      <c r="N36"/>
      <c r="O36"/>
      <c r="P36"/>
      <c r="Q36"/>
      <c r="R36"/>
    </row>
    <row r="37" spans="1:18" x14ac:dyDescent="0.3">
      <c r="A37"/>
      <c r="B37"/>
      <c r="C37"/>
      <c r="D37"/>
      <c r="E37"/>
      <c r="F37"/>
      <c r="G37"/>
      <c r="H37"/>
      <c r="I37"/>
      <c r="J37"/>
      <c r="K37"/>
      <c r="L37"/>
      <c r="M37"/>
      <c r="N37"/>
      <c r="O37"/>
      <c r="P37"/>
      <c r="Q37"/>
      <c r="R37"/>
    </row>
    <row r="38" spans="1:18" x14ac:dyDescent="0.3">
      <c r="A38"/>
      <c r="B38"/>
      <c r="C38"/>
      <c r="D38"/>
      <c r="E38"/>
      <c r="F38"/>
      <c r="G38"/>
      <c r="H38"/>
      <c r="I38"/>
      <c r="J38"/>
      <c r="K38"/>
      <c r="L38"/>
      <c r="M38"/>
      <c r="N38"/>
      <c r="O38"/>
      <c r="P38"/>
      <c r="Q38"/>
      <c r="R38"/>
    </row>
    <row r="39" spans="1:18" x14ac:dyDescent="0.3">
      <c r="A39"/>
      <c r="B39"/>
      <c r="C39"/>
      <c r="D39"/>
      <c r="E39"/>
      <c r="F39"/>
      <c r="G39"/>
      <c r="H39"/>
      <c r="I39"/>
      <c r="J39"/>
      <c r="K39"/>
      <c r="L39"/>
      <c r="M39"/>
      <c r="N39"/>
      <c r="O39"/>
      <c r="P39"/>
      <c r="Q39"/>
      <c r="R39"/>
    </row>
    <row r="40" spans="1:18" x14ac:dyDescent="0.3">
      <c r="A40"/>
      <c r="B40"/>
      <c r="C40"/>
      <c r="D40"/>
      <c r="E40"/>
      <c r="F40"/>
      <c r="G40"/>
      <c r="H40"/>
      <c r="I40"/>
      <c r="J40"/>
      <c r="K40"/>
      <c r="L40"/>
      <c r="M40"/>
      <c r="N40"/>
      <c r="O40"/>
      <c r="P40"/>
      <c r="Q40"/>
      <c r="R40"/>
    </row>
  </sheetData>
  <mergeCells count="23">
    <mergeCell ref="C27:E27"/>
    <mergeCell ref="F27:H27"/>
    <mergeCell ref="B29:H29"/>
    <mergeCell ref="C19:E19"/>
    <mergeCell ref="C20:E20"/>
    <mergeCell ref="C21:E21"/>
    <mergeCell ref="C22:E22"/>
    <mergeCell ref="F22:H22"/>
    <mergeCell ref="F25:H25"/>
    <mergeCell ref="C25:E25"/>
    <mergeCell ref="B24:B26"/>
    <mergeCell ref="C24:E24"/>
    <mergeCell ref="F24:H24"/>
    <mergeCell ref="B1:H1"/>
    <mergeCell ref="B2:H2"/>
    <mergeCell ref="B15:H15"/>
    <mergeCell ref="B16:H16"/>
    <mergeCell ref="B18:B22"/>
    <mergeCell ref="C18:E18"/>
    <mergeCell ref="F18:H18"/>
    <mergeCell ref="F21:H21"/>
    <mergeCell ref="F20:H20"/>
    <mergeCell ref="F19:H19"/>
  </mergeCells>
  <phoneticPr fontId="2" type="noConversion"/>
  <conditionalFormatting sqref="F5:G13">
    <cfRule type="containsText" dxfId="17" priority="1" operator="containsText" text="High">
      <formula>NOT(ISERROR(SEARCH("High",F5)))</formula>
    </cfRule>
    <cfRule type="containsText" dxfId="16" priority="2" operator="containsText" text="Medium">
      <formula>NOT(ISERROR(SEARCH("Medium",F5)))</formula>
    </cfRule>
    <cfRule type="containsText" dxfId="15" priority="3" operator="containsText" text="Low">
      <formula>NOT(ISERROR(SEARCH("Low",F5)))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1A9EC-E925-44F2-9ED4-6A076F9156C0}">
  <dimension ref="B1:I10"/>
  <sheetViews>
    <sheetView showGridLines="0" zoomScale="70" zoomScaleNormal="70" workbookViewId="0">
      <selection activeCell="H25" sqref="H25"/>
    </sheetView>
  </sheetViews>
  <sheetFormatPr defaultRowHeight="14.4" x14ac:dyDescent="0.3"/>
  <cols>
    <col min="1" max="1" width="2.21875" customWidth="1"/>
    <col min="2" max="2" width="12.21875" customWidth="1"/>
    <col min="3" max="4" width="25.88671875" customWidth="1"/>
    <col min="5" max="5" width="46.33203125" customWidth="1"/>
    <col min="6" max="6" width="51.88671875" customWidth="1"/>
    <col min="7" max="7" width="20.33203125" customWidth="1"/>
    <col min="8" max="8" width="53.6640625" customWidth="1"/>
    <col min="9" max="9" width="30.5546875" customWidth="1"/>
  </cols>
  <sheetData>
    <row r="1" spans="2:9" ht="30" customHeight="1" x14ac:dyDescent="0.3">
      <c r="B1" s="62" t="s">
        <v>97</v>
      </c>
      <c r="C1" s="63"/>
      <c r="D1" s="63"/>
      <c r="E1" s="63"/>
      <c r="F1" s="63"/>
      <c r="G1" s="63"/>
      <c r="H1" s="63"/>
      <c r="I1" s="63"/>
    </row>
    <row r="2" spans="2:9" x14ac:dyDescent="0.3">
      <c r="B2" s="64" t="s">
        <v>98</v>
      </c>
      <c r="C2" s="63"/>
      <c r="D2" s="63"/>
      <c r="E2" s="63"/>
      <c r="F2" s="63"/>
      <c r="G2" s="63"/>
      <c r="H2" s="63"/>
      <c r="I2" s="63"/>
    </row>
    <row r="4" spans="2:9" ht="36" customHeight="1" x14ac:dyDescent="0.3">
      <c r="B4" s="18" t="s">
        <v>0</v>
      </c>
      <c r="C4" s="18" t="s">
        <v>77</v>
      </c>
      <c r="D4" s="18" t="s">
        <v>78</v>
      </c>
      <c r="E4" s="18" t="s">
        <v>79</v>
      </c>
      <c r="F4" s="18" t="s">
        <v>80</v>
      </c>
      <c r="G4" s="19" t="s">
        <v>101</v>
      </c>
      <c r="H4" s="18" t="s">
        <v>99</v>
      </c>
      <c r="I4" s="18" t="s">
        <v>81</v>
      </c>
    </row>
    <row r="5" spans="2:9" ht="77.55" customHeight="1" x14ac:dyDescent="0.3">
      <c r="B5" s="20" t="s">
        <v>73</v>
      </c>
      <c r="C5" s="21" t="s">
        <v>41</v>
      </c>
      <c r="D5" s="21" t="s">
        <v>38</v>
      </c>
      <c r="E5" s="21" t="s">
        <v>85</v>
      </c>
      <c r="F5" s="21" t="s">
        <v>89</v>
      </c>
      <c r="G5" s="22" t="s">
        <v>102</v>
      </c>
      <c r="H5" s="21" t="s">
        <v>104</v>
      </c>
      <c r="I5" s="23" t="s">
        <v>93</v>
      </c>
    </row>
    <row r="6" spans="2:9" ht="77.55" customHeight="1" x14ac:dyDescent="0.3">
      <c r="B6" s="24" t="s">
        <v>74</v>
      </c>
      <c r="C6" s="25" t="s">
        <v>41</v>
      </c>
      <c r="D6" s="25" t="s">
        <v>83</v>
      </c>
      <c r="E6" s="25" t="s">
        <v>86</v>
      </c>
      <c r="F6" s="25" t="s">
        <v>90</v>
      </c>
      <c r="G6" s="26" t="s">
        <v>102</v>
      </c>
      <c r="H6" s="25" t="s">
        <v>105</v>
      </c>
      <c r="I6" s="27" t="s">
        <v>94</v>
      </c>
    </row>
    <row r="7" spans="2:9" ht="91.95" customHeight="1" x14ac:dyDescent="0.3">
      <c r="B7" s="28" t="s">
        <v>75</v>
      </c>
      <c r="C7" s="29" t="s">
        <v>82</v>
      </c>
      <c r="D7" s="29" t="s">
        <v>37</v>
      </c>
      <c r="E7" s="29" t="s">
        <v>87</v>
      </c>
      <c r="F7" s="29" t="s">
        <v>91</v>
      </c>
      <c r="G7" s="30" t="s">
        <v>102</v>
      </c>
      <c r="H7" s="29" t="s">
        <v>106</v>
      </c>
      <c r="I7" s="31" t="s">
        <v>95</v>
      </c>
    </row>
    <row r="8" spans="2:9" ht="77.55" customHeight="1" x14ac:dyDescent="0.3">
      <c r="B8" s="32" t="s">
        <v>76</v>
      </c>
      <c r="C8" s="33" t="s">
        <v>38</v>
      </c>
      <c r="D8" s="33" t="s">
        <v>84</v>
      </c>
      <c r="E8" s="33" t="s">
        <v>88</v>
      </c>
      <c r="F8" s="33" t="s">
        <v>92</v>
      </c>
      <c r="G8" s="34" t="s">
        <v>103</v>
      </c>
      <c r="H8" s="33" t="s">
        <v>107</v>
      </c>
      <c r="I8" s="35" t="s">
        <v>96</v>
      </c>
    </row>
    <row r="10" spans="2:9" ht="30" customHeight="1" x14ac:dyDescent="0.3">
      <c r="B10" s="100" t="s">
        <v>100</v>
      </c>
      <c r="C10" s="72"/>
      <c r="D10" s="72"/>
      <c r="E10" s="72"/>
      <c r="F10" s="72"/>
      <c r="G10" s="72"/>
      <c r="H10" s="72"/>
      <c r="I10" s="72"/>
    </row>
  </sheetData>
  <mergeCells count="3">
    <mergeCell ref="B1:I1"/>
    <mergeCell ref="B2:I2"/>
    <mergeCell ref="B10:I10"/>
  </mergeCells>
  <phoneticPr fontId="2" type="noConversion"/>
  <conditionalFormatting sqref="G5:G8">
    <cfRule type="containsText" dxfId="14" priority="1" operator="containsText" text="Deferred">
      <formula>NOT(ISERROR(SEARCH("Deferred",G5)))</formula>
    </cfRule>
    <cfRule type="containsText" dxfId="13" priority="2" operator="containsText" text="Proposed">
      <formula>NOT(ISERROR(SEARCH("Proposed",G5)))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F3C18-B197-406C-9307-D690AD32141D}">
  <dimension ref="B1:G30"/>
  <sheetViews>
    <sheetView showGridLines="0" zoomScale="70" zoomScaleNormal="70" workbookViewId="0">
      <selection activeCell="H7" sqref="H7"/>
    </sheetView>
  </sheetViews>
  <sheetFormatPr defaultRowHeight="14.4" x14ac:dyDescent="0.3"/>
  <cols>
    <col min="1" max="1" width="2.21875" customWidth="1"/>
    <col min="2" max="2" width="13" customWidth="1"/>
    <col min="3" max="3" width="39.77734375" customWidth="1"/>
    <col min="4" max="4" width="20.33203125" customWidth="1"/>
    <col min="5" max="5" width="63" customWidth="1"/>
    <col min="6" max="6" width="27.77734375" customWidth="1"/>
    <col min="7" max="7" width="17.5546875" customWidth="1"/>
  </cols>
  <sheetData>
    <row r="1" spans="2:7" ht="30" customHeight="1" x14ac:dyDescent="0.3">
      <c r="B1" s="62" t="s">
        <v>195</v>
      </c>
      <c r="C1" s="63"/>
      <c r="D1" s="63"/>
      <c r="E1" s="63"/>
      <c r="F1" s="63"/>
      <c r="G1" s="63"/>
    </row>
    <row r="2" spans="2:7" x14ac:dyDescent="0.3">
      <c r="B2" s="64" t="s">
        <v>196</v>
      </c>
      <c r="C2" s="63"/>
      <c r="D2" s="63"/>
      <c r="E2" s="63"/>
      <c r="F2" s="63"/>
      <c r="G2" s="63"/>
    </row>
    <row r="4" spans="2:7" ht="36" customHeight="1" x14ac:dyDescent="0.3">
      <c r="B4" s="37" t="s">
        <v>0</v>
      </c>
      <c r="C4" s="37" t="s">
        <v>108</v>
      </c>
      <c r="D4" s="38" t="s">
        <v>109</v>
      </c>
      <c r="E4" s="37" t="s">
        <v>110</v>
      </c>
      <c r="F4" s="37" t="s">
        <v>111</v>
      </c>
      <c r="G4" s="38" t="s">
        <v>112</v>
      </c>
    </row>
    <row r="5" spans="2:7" ht="44.7" customHeight="1" x14ac:dyDescent="0.3">
      <c r="B5" s="39" t="s">
        <v>113</v>
      </c>
      <c r="C5" s="40" t="s">
        <v>114</v>
      </c>
      <c r="D5" s="41" t="s">
        <v>115</v>
      </c>
      <c r="E5" s="40" t="s">
        <v>116</v>
      </c>
      <c r="F5" s="42" t="s">
        <v>117</v>
      </c>
      <c r="G5" s="43" t="s">
        <v>118</v>
      </c>
    </row>
    <row r="6" spans="2:7" ht="44.7" customHeight="1" x14ac:dyDescent="0.3">
      <c r="B6" s="44" t="s">
        <v>119</v>
      </c>
      <c r="C6" s="45" t="s">
        <v>120</v>
      </c>
      <c r="D6" s="46" t="s">
        <v>115</v>
      </c>
      <c r="E6" s="45" t="s">
        <v>121</v>
      </c>
      <c r="F6" s="47" t="s">
        <v>122</v>
      </c>
      <c r="G6" s="48" t="s">
        <v>118</v>
      </c>
    </row>
    <row r="7" spans="2:7" ht="30.45" customHeight="1" x14ac:dyDescent="0.3">
      <c r="B7" s="39" t="s">
        <v>123</v>
      </c>
      <c r="C7" s="40" t="s">
        <v>124</v>
      </c>
      <c r="D7" s="41" t="s">
        <v>115</v>
      </c>
      <c r="E7" s="40" t="s">
        <v>125</v>
      </c>
      <c r="F7" s="42" t="s">
        <v>117</v>
      </c>
      <c r="G7" s="43" t="s">
        <v>118</v>
      </c>
    </row>
    <row r="8" spans="2:7" ht="44.7" customHeight="1" x14ac:dyDescent="0.3">
      <c r="B8" s="44" t="s">
        <v>126</v>
      </c>
      <c r="C8" s="45" t="s">
        <v>127</v>
      </c>
      <c r="D8" s="46" t="s">
        <v>115</v>
      </c>
      <c r="E8" s="45" t="s">
        <v>128</v>
      </c>
      <c r="F8" s="47" t="s">
        <v>117</v>
      </c>
      <c r="G8" s="48" t="s">
        <v>118</v>
      </c>
    </row>
    <row r="9" spans="2:7" ht="44.7" customHeight="1" x14ac:dyDescent="0.3">
      <c r="B9" s="39" t="s">
        <v>129</v>
      </c>
      <c r="C9" s="40" t="s">
        <v>130</v>
      </c>
      <c r="D9" s="41" t="s">
        <v>115</v>
      </c>
      <c r="E9" s="40" t="s">
        <v>131</v>
      </c>
      <c r="F9" s="42" t="s">
        <v>132</v>
      </c>
      <c r="G9" s="43" t="s">
        <v>118</v>
      </c>
    </row>
    <row r="10" spans="2:7" ht="44.7" customHeight="1" x14ac:dyDescent="0.3">
      <c r="B10" s="44" t="s">
        <v>133</v>
      </c>
      <c r="C10" s="45" t="s">
        <v>134</v>
      </c>
      <c r="D10" s="46" t="s">
        <v>115</v>
      </c>
      <c r="E10" s="45" t="s">
        <v>135</v>
      </c>
      <c r="F10" s="47" t="s">
        <v>136</v>
      </c>
      <c r="G10" s="48" t="s">
        <v>118</v>
      </c>
    </row>
    <row r="11" spans="2:7" ht="44.7" customHeight="1" x14ac:dyDescent="0.3">
      <c r="B11" s="39" t="s">
        <v>137</v>
      </c>
      <c r="C11" s="40" t="s">
        <v>138</v>
      </c>
      <c r="D11" s="41" t="s">
        <v>115</v>
      </c>
      <c r="E11" s="40" t="s">
        <v>139</v>
      </c>
      <c r="F11" s="42" t="s">
        <v>140</v>
      </c>
      <c r="G11" s="43" t="s">
        <v>118</v>
      </c>
    </row>
    <row r="12" spans="2:7" ht="44.7" customHeight="1" x14ac:dyDescent="0.3">
      <c r="B12" s="44" t="s">
        <v>141</v>
      </c>
      <c r="C12" s="45" t="s">
        <v>142</v>
      </c>
      <c r="D12" s="46" t="s">
        <v>115</v>
      </c>
      <c r="E12" s="45" t="s">
        <v>143</v>
      </c>
      <c r="F12" s="47" t="s">
        <v>144</v>
      </c>
      <c r="G12" s="48" t="s">
        <v>118</v>
      </c>
    </row>
    <row r="13" spans="2:7" ht="44.7" customHeight="1" x14ac:dyDescent="0.3">
      <c r="B13" s="39" t="s">
        <v>145</v>
      </c>
      <c r="C13" s="40" t="s">
        <v>146</v>
      </c>
      <c r="D13" s="41" t="s">
        <v>115</v>
      </c>
      <c r="E13" s="40" t="s">
        <v>147</v>
      </c>
      <c r="F13" s="42" t="s">
        <v>148</v>
      </c>
      <c r="G13" s="43" t="s">
        <v>118</v>
      </c>
    </row>
    <row r="14" spans="2:7" ht="30.45" customHeight="1" x14ac:dyDescent="0.3">
      <c r="B14" s="44" t="s">
        <v>149</v>
      </c>
      <c r="C14" s="45" t="s">
        <v>150</v>
      </c>
      <c r="D14" s="46" t="s">
        <v>115</v>
      </c>
      <c r="E14" s="45" t="s">
        <v>151</v>
      </c>
      <c r="F14" s="47" t="s">
        <v>148</v>
      </c>
      <c r="G14" s="48" t="s">
        <v>118</v>
      </c>
    </row>
    <row r="15" spans="2:7" ht="44.7" customHeight="1" x14ac:dyDescent="0.3">
      <c r="B15" s="39" t="s">
        <v>152</v>
      </c>
      <c r="C15" s="40" t="s">
        <v>153</v>
      </c>
      <c r="D15" s="41" t="s">
        <v>115</v>
      </c>
      <c r="E15" s="40" t="s">
        <v>154</v>
      </c>
      <c r="F15" s="42" t="s">
        <v>155</v>
      </c>
      <c r="G15" s="43" t="s">
        <v>118</v>
      </c>
    </row>
    <row r="16" spans="2:7" ht="59.25" customHeight="1" x14ac:dyDescent="0.3">
      <c r="B16" s="44" t="s">
        <v>156</v>
      </c>
      <c r="C16" s="45" t="s">
        <v>157</v>
      </c>
      <c r="D16" s="46" t="s">
        <v>115</v>
      </c>
      <c r="E16" s="45" t="s">
        <v>158</v>
      </c>
      <c r="F16" s="47" t="s">
        <v>159</v>
      </c>
      <c r="G16" s="48" t="s">
        <v>160</v>
      </c>
    </row>
    <row r="17" spans="2:7" ht="73.5" customHeight="1" x14ac:dyDescent="0.3">
      <c r="B17" s="39" t="s">
        <v>161</v>
      </c>
      <c r="C17" s="40" t="s">
        <v>162</v>
      </c>
      <c r="D17" s="41" t="s">
        <v>163</v>
      </c>
      <c r="E17" s="40" t="s">
        <v>164</v>
      </c>
      <c r="F17" s="42" t="s">
        <v>165</v>
      </c>
      <c r="G17" s="43" t="s">
        <v>160</v>
      </c>
    </row>
    <row r="18" spans="2:7" ht="59.25" customHeight="1" x14ac:dyDescent="0.3">
      <c r="B18" s="44" t="s">
        <v>166</v>
      </c>
      <c r="C18" s="45" t="s">
        <v>167</v>
      </c>
      <c r="D18" s="46" t="s">
        <v>168</v>
      </c>
      <c r="E18" s="45" t="s">
        <v>169</v>
      </c>
      <c r="F18" s="47" t="s">
        <v>170</v>
      </c>
      <c r="G18" s="48" t="s">
        <v>118</v>
      </c>
    </row>
    <row r="19" spans="2:7" ht="59.25" customHeight="1" x14ac:dyDescent="0.3">
      <c r="B19" s="39" t="s">
        <v>171</v>
      </c>
      <c r="C19" s="40" t="s">
        <v>172</v>
      </c>
      <c r="D19" s="41" t="s">
        <v>168</v>
      </c>
      <c r="E19" s="40" t="s">
        <v>173</v>
      </c>
      <c r="F19" s="42" t="s">
        <v>174</v>
      </c>
      <c r="G19" s="43" t="s">
        <v>118</v>
      </c>
    </row>
    <row r="20" spans="2:7" ht="59.25" customHeight="1" x14ac:dyDescent="0.3">
      <c r="B20" s="44" t="s">
        <v>175</v>
      </c>
      <c r="C20" s="45" t="s">
        <v>176</v>
      </c>
      <c r="D20" s="46" t="s">
        <v>163</v>
      </c>
      <c r="E20" s="45" t="s">
        <v>177</v>
      </c>
      <c r="F20" s="47" t="s">
        <v>178</v>
      </c>
      <c r="G20" s="48" t="s">
        <v>118</v>
      </c>
    </row>
    <row r="21" spans="2:7" ht="59.25" customHeight="1" x14ac:dyDescent="0.3">
      <c r="B21" s="39" t="s">
        <v>179</v>
      </c>
      <c r="C21" s="40" t="s">
        <v>180</v>
      </c>
      <c r="D21" s="41" t="s">
        <v>163</v>
      </c>
      <c r="E21" s="40" t="s">
        <v>181</v>
      </c>
      <c r="F21" s="42" t="s">
        <v>182</v>
      </c>
      <c r="G21" s="43" t="s">
        <v>118</v>
      </c>
    </row>
    <row r="22" spans="2:7" ht="44.7" customHeight="1" x14ac:dyDescent="0.3">
      <c r="B22" s="44" t="s">
        <v>183</v>
      </c>
      <c r="C22" s="45" t="s">
        <v>184</v>
      </c>
      <c r="D22" s="46" t="s">
        <v>163</v>
      </c>
      <c r="E22" s="45" t="s">
        <v>185</v>
      </c>
      <c r="F22" s="47" t="s">
        <v>186</v>
      </c>
      <c r="G22" s="48" t="s">
        <v>118</v>
      </c>
    </row>
    <row r="23" spans="2:7" ht="59.25" customHeight="1" x14ac:dyDescent="0.3">
      <c r="B23" s="39" t="s">
        <v>187</v>
      </c>
      <c r="C23" s="40" t="s">
        <v>188</v>
      </c>
      <c r="D23" s="41" t="s">
        <v>168</v>
      </c>
      <c r="E23" s="40" t="s">
        <v>189</v>
      </c>
      <c r="F23" s="42" t="s">
        <v>190</v>
      </c>
      <c r="G23" s="43" t="s">
        <v>118</v>
      </c>
    </row>
    <row r="24" spans="2:7" ht="59.25" customHeight="1" x14ac:dyDescent="0.3">
      <c r="B24" s="44" t="s">
        <v>191</v>
      </c>
      <c r="C24" s="45" t="s">
        <v>192</v>
      </c>
      <c r="D24" s="46" t="s">
        <v>168</v>
      </c>
      <c r="E24" s="45" t="s">
        <v>193</v>
      </c>
      <c r="F24" s="47" t="s">
        <v>194</v>
      </c>
      <c r="G24" s="48" t="s">
        <v>118</v>
      </c>
    </row>
    <row r="26" spans="2:7" ht="15.6" x14ac:dyDescent="0.3">
      <c r="B26" s="101" t="s">
        <v>197</v>
      </c>
      <c r="C26" s="102"/>
    </row>
    <row r="27" spans="2:7" ht="22.05" customHeight="1" x14ac:dyDescent="0.3">
      <c r="B27" s="49" t="s">
        <v>198</v>
      </c>
      <c r="C27" s="50">
        <f>COUNTIF($D$5:$D$24,"IN SCOPE")</f>
        <v>12</v>
      </c>
    </row>
    <row r="28" spans="2:7" ht="22.05" customHeight="1" x14ac:dyDescent="0.3">
      <c r="B28" s="49" t="s">
        <v>199</v>
      </c>
      <c r="C28" s="50">
        <f>COUNTIF($D$5:$D$24,"DEFERRED")</f>
        <v>4</v>
      </c>
    </row>
    <row r="29" spans="2:7" ht="22.05" customHeight="1" x14ac:dyDescent="0.3">
      <c r="B29" s="49" t="s">
        <v>200</v>
      </c>
      <c r="C29" s="50">
        <f>COUNTIF($D$5:$D$24,"OUT OF SCOPE")</f>
        <v>4</v>
      </c>
    </row>
    <row r="30" spans="2:7" ht="22.05" customHeight="1" x14ac:dyDescent="0.3">
      <c r="B30" s="51" t="s">
        <v>201</v>
      </c>
      <c r="C30" s="52">
        <f>COUNTA($B$5:$B$24)</f>
        <v>20</v>
      </c>
    </row>
  </sheetData>
  <mergeCells count="3">
    <mergeCell ref="B1:G1"/>
    <mergeCell ref="B2:G2"/>
    <mergeCell ref="B26:C26"/>
  </mergeCells>
  <conditionalFormatting sqref="D5:D24">
    <cfRule type="containsText" dxfId="12" priority="1" operator="containsText" text="OUT OF SCOPE">
      <formula>NOT(ISERROR(SEARCH("OUT OF SCOPE",D5)))</formula>
    </cfRule>
    <cfRule type="containsText" dxfId="11" priority="2" operator="containsText" text="IN SCOPE">
      <formula>NOT(ISERROR(SEARCH("IN SCOPE",D5)))</formula>
    </cfRule>
    <cfRule type="containsText" dxfId="10" priority="3" operator="containsText" text="DEFERRED">
      <formula>NOT(ISERROR(SEARCH("DEFERRED",D5)))</formula>
    </cfRule>
  </conditionalFormatting>
  <conditionalFormatting sqref="G5:G24">
    <cfRule type="containsText" dxfId="9" priority="4" operator="containsText" text="Yes">
      <formula>NOT(ISERROR(SEARCH("Yes",G5)))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FFD4A-8342-4691-9499-D753F39C5AAE}">
  <dimension ref="B1:H20"/>
  <sheetViews>
    <sheetView showGridLines="0" zoomScale="70" zoomScaleNormal="70" workbookViewId="0">
      <selection activeCell="F11" sqref="F11"/>
    </sheetView>
  </sheetViews>
  <sheetFormatPr defaultRowHeight="14.4" x14ac:dyDescent="0.3"/>
  <cols>
    <col min="1" max="1" width="2.21875" customWidth="1"/>
    <col min="2" max="2" width="13" customWidth="1"/>
    <col min="3" max="3" width="19.44140625" customWidth="1"/>
    <col min="4" max="4" width="55.5546875" customWidth="1"/>
    <col min="5" max="5" width="24.109375" customWidth="1"/>
    <col min="6" max="6" width="61.109375" customWidth="1"/>
    <col min="7" max="7" width="18.5546875" customWidth="1"/>
    <col min="8" max="8" width="51.88671875" customWidth="1"/>
  </cols>
  <sheetData>
    <row r="1" spans="2:8" ht="30" customHeight="1" x14ac:dyDescent="0.3">
      <c r="B1" s="62" t="s">
        <v>253</v>
      </c>
      <c r="C1" s="63"/>
      <c r="D1" s="63"/>
      <c r="E1" s="63"/>
      <c r="F1" s="63"/>
      <c r="G1" s="63"/>
      <c r="H1" s="63"/>
    </row>
    <row r="2" spans="2:8" x14ac:dyDescent="0.3">
      <c r="B2" s="64" t="s">
        <v>254</v>
      </c>
      <c r="C2" s="63"/>
      <c r="D2" s="63"/>
      <c r="E2" s="63"/>
      <c r="F2" s="63"/>
      <c r="G2" s="63"/>
      <c r="H2" s="63"/>
    </row>
    <row r="4" spans="2:8" ht="36" customHeight="1" x14ac:dyDescent="0.3">
      <c r="B4" s="37" t="s">
        <v>0</v>
      </c>
      <c r="C4" s="38" t="s">
        <v>202</v>
      </c>
      <c r="D4" s="37" t="s">
        <v>203</v>
      </c>
      <c r="E4" s="37" t="s">
        <v>111</v>
      </c>
      <c r="F4" s="37" t="s">
        <v>204</v>
      </c>
      <c r="G4" s="38" t="s">
        <v>205</v>
      </c>
      <c r="H4" s="37" t="s">
        <v>206</v>
      </c>
    </row>
    <row r="5" spans="2:8" ht="75.45" customHeight="1" x14ac:dyDescent="0.3">
      <c r="B5" s="39" t="s">
        <v>207</v>
      </c>
      <c r="C5" s="41" t="s">
        <v>208</v>
      </c>
      <c r="D5" s="40" t="s">
        <v>209</v>
      </c>
      <c r="E5" s="42" t="s">
        <v>210</v>
      </c>
      <c r="F5" s="40" t="s">
        <v>211</v>
      </c>
      <c r="G5" s="56" t="s">
        <v>190</v>
      </c>
      <c r="H5" s="40" t="s">
        <v>212</v>
      </c>
    </row>
    <row r="6" spans="2:8" ht="75.45" customHeight="1" x14ac:dyDescent="0.3">
      <c r="B6" s="44" t="s">
        <v>190</v>
      </c>
      <c r="C6" s="46" t="s">
        <v>213</v>
      </c>
      <c r="D6" s="45" t="s">
        <v>214</v>
      </c>
      <c r="E6" s="47" t="s">
        <v>215</v>
      </c>
      <c r="F6" s="45" t="s">
        <v>216</v>
      </c>
      <c r="G6" s="57" t="s">
        <v>217</v>
      </c>
      <c r="H6" s="45" t="s">
        <v>218</v>
      </c>
    </row>
    <row r="7" spans="2:8" ht="75.45" customHeight="1" x14ac:dyDescent="0.3">
      <c r="B7" s="39" t="s">
        <v>219</v>
      </c>
      <c r="C7" s="41" t="s">
        <v>220</v>
      </c>
      <c r="D7" s="40" t="s">
        <v>221</v>
      </c>
      <c r="E7" s="42" t="s">
        <v>222</v>
      </c>
      <c r="F7" s="40" t="s">
        <v>223</v>
      </c>
      <c r="G7" s="56" t="s">
        <v>224</v>
      </c>
      <c r="H7" s="40" t="s">
        <v>225</v>
      </c>
    </row>
    <row r="8" spans="2:8" ht="75.45" customHeight="1" x14ac:dyDescent="0.3">
      <c r="B8" s="44" t="s">
        <v>217</v>
      </c>
      <c r="C8" s="46" t="s">
        <v>220</v>
      </c>
      <c r="D8" s="45" t="s">
        <v>226</v>
      </c>
      <c r="E8" s="47" t="s">
        <v>227</v>
      </c>
      <c r="F8" s="45" t="s">
        <v>228</v>
      </c>
      <c r="G8" s="57" t="s">
        <v>190</v>
      </c>
      <c r="H8" s="45" t="s">
        <v>229</v>
      </c>
    </row>
    <row r="9" spans="2:8" ht="61.2" customHeight="1" x14ac:dyDescent="0.3">
      <c r="B9" s="39" t="s">
        <v>230</v>
      </c>
      <c r="C9" s="41" t="s">
        <v>231</v>
      </c>
      <c r="D9" s="40" t="s">
        <v>232</v>
      </c>
      <c r="E9" s="42" t="s">
        <v>233</v>
      </c>
      <c r="F9" s="40" t="s">
        <v>234</v>
      </c>
      <c r="G9" s="56" t="s">
        <v>190</v>
      </c>
      <c r="H9" s="40" t="s">
        <v>235</v>
      </c>
    </row>
    <row r="10" spans="2:8" ht="75.45" customHeight="1" x14ac:dyDescent="0.3">
      <c r="B10" s="44" t="s">
        <v>236</v>
      </c>
      <c r="C10" s="46" t="s">
        <v>237</v>
      </c>
      <c r="D10" s="45" t="s">
        <v>238</v>
      </c>
      <c r="E10" s="47" t="s">
        <v>239</v>
      </c>
      <c r="F10" s="45" t="s">
        <v>240</v>
      </c>
      <c r="G10" s="57" t="s">
        <v>219</v>
      </c>
      <c r="H10" s="45" t="s">
        <v>241</v>
      </c>
    </row>
    <row r="11" spans="2:8" ht="61.2" customHeight="1" x14ac:dyDescent="0.3">
      <c r="B11" s="39" t="s">
        <v>242</v>
      </c>
      <c r="C11" s="41" t="s">
        <v>237</v>
      </c>
      <c r="D11" s="40" t="s">
        <v>243</v>
      </c>
      <c r="E11" s="42" t="s">
        <v>244</v>
      </c>
      <c r="F11" s="40" t="s">
        <v>245</v>
      </c>
      <c r="G11" s="56" t="s">
        <v>246</v>
      </c>
      <c r="H11" s="40" t="s">
        <v>247</v>
      </c>
    </row>
    <row r="12" spans="2:8" ht="75.45" customHeight="1" x14ac:dyDescent="0.3">
      <c r="B12" s="44" t="s">
        <v>248</v>
      </c>
      <c r="C12" s="46" t="s">
        <v>220</v>
      </c>
      <c r="D12" s="45" t="s">
        <v>249</v>
      </c>
      <c r="E12" s="47" t="s">
        <v>250</v>
      </c>
      <c r="F12" s="45" t="s">
        <v>251</v>
      </c>
      <c r="G12" s="57" t="s">
        <v>165</v>
      </c>
      <c r="H12" s="45" t="s">
        <v>252</v>
      </c>
    </row>
    <row r="14" spans="2:8" ht="15.6" x14ac:dyDescent="0.3">
      <c r="B14" s="101" t="s">
        <v>255</v>
      </c>
      <c r="C14" s="105"/>
      <c r="D14" s="102"/>
    </row>
    <row r="15" spans="2:8" ht="22.05" customHeight="1" x14ac:dyDescent="0.3">
      <c r="B15" s="103" t="s">
        <v>208</v>
      </c>
      <c r="C15" s="103"/>
      <c r="D15" s="58">
        <f>COUNTIF($C$5:$C$12,"Scope")</f>
        <v>1</v>
      </c>
    </row>
    <row r="16" spans="2:8" ht="22.05" customHeight="1" x14ac:dyDescent="0.3">
      <c r="B16" s="103" t="s">
        <v>213</v>
      </c>
      <c r="C16" s="103"/>
      <c r="D16" s="58">
        <f>COUNTIF($C$5:$C$12,"Schedule")</f>
        <v>1</v>
      </c>
    </row>
    <row r="17" spans="2:4" ht="22.05" customHeight="1" x14ac:dyDescent="0.3">
      <c r="B17" s="103" t="s">
        <v>220</v>
      </c>
      <c r="C17" s="103"/>
      <c r="D17" s="58">
        <f>COUNTIF($C$5:$C$12,"Cost &amp; resources")</f>
        <v>3</v>
      </c>
    </row>
    <row r="18" spans="2:4" ht="22.05" customHeight="1" x14ac:dyDescent="0.3">
      <c r="B18" s="103" t="s">
        <v>231</v>
      </c>
      <c r="C18" s="103"/>
      <c r="D18" s="58">
        <f>COUNTIF($C$5:$C$12,"Quality")</f>
        <v>1</v>
      </c>
    </row>
    <row r="19" spans="2:4" ht="22.05" customHeight="1" x14ac:dyDescent="0.3">
      <c r="B19" s="103" t="s">
        <v>237</v>
      </c>
      <c r="C19" s="103"/>
      <c r="D19" s="58">
        <f>COUNTIF($C$5:$C$12,"Security")</f>
        <v>2</v>
      </c>
    </row>
    <row r="20" spans="2:4" ht="22.05" customHeight="1" x14ac:dyDescent="0.3">
      <c r="B20" s="104" t="s">
        <v>256</v>
      </c>
      <c r="C20" s="104"/>
      <c r="D20" s="59">
        <f>COUNTA($B$5:$B$12)</f>
        <v>8</v>
      </c>
    </row>
  </sheetData>
  <mergeCells count="9">
    <mergeCell ref="B19:C19"/>
    <mergeCell ref="B20:C20"/>
    <mergeCell ref="B14:D14"/>
    <mergeCell ref="B1:H1"/>
    <mergeCell ref="B2:H2"/>
    <mergeCell ref="B15:C15"/>
    <mergeCell ref="B16:C16"/>
    <mergeCell ref="B17:C17"/>
    <mergeCell ref="B18:C18"/>
  </mergeCells>
  <conditionalFormatting sqref="C5:C12">
    <cfRule type="containsText" dxfId="8" priority="1" operator="containsText" text="Scope">
      <formula>NOT(ISERROR(SEARCH("Scope",C5)))</formula>
    </cfRule>
    <cfRule type="containsText" dxfId="7" priority="2" operator="containsText" text="Schedule">
      <formula>NOT(ISERROR(SEARCH("Schedule",C5)))</formula>
    </cfRule>
    <cfRule type="containsText" dxfId="6" priority="3" operator="containsText" text="Cost">
      <formula>NOT(ISERROR(SEARCH("Cost",C5)))</formula>
    </cfRule>
    <cfRule type="containsText" dxfId="5" priority="4" operator="containsText" text="Quality">
      <formula>NOT(ISERROR(SEARCH("Quality",C5)))</formula>
    </cfRule>
    <cfRule type="containsText" dxfId="4" priority="5" operator="containsText" text="Security">
      <formula>NOT(ISERROR(SEARCH("Security",C5)))</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96A31-255E-427F-9EEC-D2A08E58CA1F}">
  <dimension ref="B1:J16"/>
  <sheetViews>
    <sheetView showGridLines="0" tabSelected="1" zoomScale="85" zoomScaleNormal="85" workbookViewId="0">
      <selection activeCell="G3" sqref="G3"/>
    </sheetView>
  </sheetViews>
  <sheetFormatPr defaultRowHeight="14.4" x14ac:dyDescent="0.3"/>
  <cols>
    <col min="1" max="1" width="2.21875" customWidth="1"/>
    <col min="2" max="2" width="13" customWidth="1"/>
    <col min="3" max="3" width="19" customWidth="1"/>
    <col min="4" max="4" width="37" customWidth="1"/>
    <col min="5" max="5" width="38.88671875" customWidth="1"/>
    <col min="6" max="6" width="59.21875" customWidth="1"/>
    <col min="7" max="7" width="53.6640625" customWidth="1"/>
    <col min="8" max="8" width="44.44140625" customWidth="1"/>
    <col min="9" max="9" width="11.109375" customWidth="1"/>
    <col min="10" max="10" width="18.5546875" customWidth="1"/>
  </cols>
  <sheetData>
    <row r="1" spans="2:10" ht="30" customHeight="1" x14ac:dyDescent="0.3">
      <c r="B1" s="62" t="s">
        <v>303</v>
      </c>
      <c r="C1" s="63"/>
      <c r="D1" s="63"/>
      <c r="E1" s="63"/>
      <c r="F1" s="63"/>
      <c r="G1" s="63"/>
      <c r="H1" s="63"/>
      <c r="I1" s="63"/>
      <c r="J1" s="63"/>
    </row>
    <row r="2" spans="2:10" x14ac:dyDescent="0.3">
      <c r="B2" s="64" t="s">
        <v>304</v>
      </c>
      <c r="C2" s="63"/>
      <c r="D2" s="63"/>
      <c r="E2" s="63"/>
      <c r="F2" s="63"/>
      <c r="G2" s="63"/>
      <c r="H2" s="63"/>
      <c r="I2" s="63"/>
      <c r="J2" s="63"/>
    </row>
    <row r="4" spans="2:10" ht="36" customHeight="1" x14ac:dyDescent="0.3">
      <c r="B4" s="37" t="s">
        <v>0</v>
      </c>
      <c r="C4" s="38" t="s">
        <v>257</v>
      </c>
      <c r="D4" s="37" t="s">
        <v>258</v>
      </c>
      <c r="E4" s="37" t="s">
        <v>259</v>
      </c>
      <c r="F4" s="37" t="s">
        <v>260</v>
      </c>
      <c r="G4" s="37" t="s">
        <v>261</v>
      </c>
      <c r="H4" s="37" t="s">
        <v>262</v>
      </c>
      <c r="I4" s="38" t="s">
        <v>263</v>
      </c>
      <c r="J4" s="38" t="s">
        <v>101</v>
      </c>
    </row>
    <row r="5" spans="2:10" ht="90" customHeight="1" x14ac:dyDescent="0.3">
      <c r="B5" s="39" t="s">
        <v>264</v>
      </c>
      <c r="C5" s="60">
        <f t="shared" ref="C5:C11" si="0">DATE(2026,9,6)</f>
        <v>46271</v>
      </c>
      <c r="D5" s="39" t="s">
        <v>265</v>
      </c>
      <c r="E5" s="40" t="s">
        <v>266</v>
      </c>
      <c r="F5" s="40" t="s">
        <v>267</v>
      </c>
      <c r="G5" s="40" t="s">
        <v>268</v>
      </c>
      <c r="H5" s="40" t="s">
        <v>305</v>
      </c>
      <c r="I5" s="43" t="s">
        <v>29</v>
      </c>
      <c r="J5" s="41" t="s">
        <v>269</v>
      </c>
    </row>
    <row r="6" spans="2:10" ht="61.2" customHeight="1" x14ac:dyDescent="0.3">
      <c r="B6" s="44" t="s">
        <v>270</v>
      </c>
      <c r="C6" s="61">
        <f t="shared" si="0"/>
        <v>46271</v>
      </c>
      <c r="D6" s="44" t="s">
        <v>271</v>
      </c>
      <c r="E6" s="45" t="s">
        <v>272</v>
      </c>
      <c r="F6" s="45" t="s">
        <v>273</v>
      </c>
      <c r="G6" s="45" t="s">
        <v>274</v>
      </c>
      <c r="H6" s="45" t="s">
        <v>275</v>
      </c>
      <c r="I6" s="48" t="s">
        <v>29</v>
      </c>
      <c r="J6" s="46" t="s">
        <v>168</v>
      </c>
    </row>
    <row r="7" spans="2:10" ht="75.45" customHeight="1" x14ac:dyDescent="0.3">
      <c r="B7" s="39" t="s">
        <v>276</v>
      </c>
      <c r="C7" s="60">
        <f t="shared" si="0"/>
        <v>46271</v>
      </c>
      <c r="D7" s="39" t="s">
        <v>277</v>
      </c>
      <c r="E7" s="40" t="s">
        <v>278</v>
      </c>
      <c r="F7" s="40" t="s">
        <v>279</v>
      </c>
      <c r="G7" s="40" t="s">
        <v>280</v>
      </c>
      <c r="H7" s="40" t="s">
        <v>281</v>
      </c>
      <c r="I7" s="43" t="s">
        <v>29</v>
      </c>
      <c r="J7" s="41" t="s">
        <v>168</v>
      </c>
    </row>
    <row r="8" spans="2:10" ht="75.45" customHeight="1" x14ac:dyDescent="0.3">
      <c r="B8" s="44" t="s">
        <v>282</v>
      </c>
      <c r="C8" s="61">
        <f t="shared" si="0"/>
        <v>46271</v>
      </c>
      <c r="D8" s="44" t="s">
        <v>283</v>
      </c>
      <c r="E8" s="45" t="s">
        <v>284</v>
      </c>
      <c r="F8" s="45" t="s">
        <v>285</v>
      </c>
      <c r="G8" s="45" t="s">
        <v>286</v>
      </c>
      <c r="H8" s="45" t="s">
        <v>305</v>
      </c>
      <c r="I8" s="48" t="s">
        <v>29</v>
      </c>
      <c r="J8" s="46" t="s">
        <v>269</v>
      </c>
    </row>
    <row r="9" spans="2:10" ht="61.2" customHeight="1" x14ac:dyDescent="0.3">
      <c r="B9" s="39" t="s">
        <v>287</v>
      </c>
      <c r="C9" s="60">
        <f t="shared" si="0"/>
        <v>46271</v>
      </c>
      <c r="D9" s="39" t="s">
        <v>288</v>
      </c>
      <c r="E9" s="40" t="s">
        <v>289</v>
      </c>
      <c r="F9" s="40" t="s">
        <v>290</v>
      </c>
      <c r="G9" s="40" t="s">
        <v>291</v>
      </c>
      <c r="H9" s="40" t="s">
        <v>292</v>
      </c>
      <c r="I9" s="43" t="s">
        <v>29</v>
      </c>
      <c r="J9" s="41" t="s">
        <v>168</v>
      </c>
    </row>
    <row r="10" spans="2:10" ht="61.2" customHeight="1" x14ac:dyDescent="0.3">
      <c r="B10" s="44" t="s">
        <v>293</v>
      </c>
      <c r="C10" s="61">
        <f t="shared" si="0"/>
        <v>46271</v>
      </c>
      <c r="D10" s="44" t="s">
        <v>294</v>
      </c>
      <c r="E10" s="45" t="s">
        <v>295</v>
      </c>
      <c r="F10" s="45" t="s">
        <v>296</v>
      </c>
      <c r="G10" s="45" t="s">
        <v>297</v>
      </c>
      <c r="H10" s="45" t="s">
        <v>305</v>
      </c>
      <c r="I10" s="48" t="s">
        <v>29</v>
      </c>
      <c r="J10" s="46" t="s">
        <v>269</v>
      </c>
    </row>
    <row r="11" spans="2:10" ht="61.2" customHeight="1" x14ac:dyDescent="0.3">
      <c r="B11" s="39" t="s">
        <v>298</v>
      </c>
      <c r="C11" s="60">
        <f t="shared" si="0"/>
        <v>46271</v>
      </c>
      <c r="D11" s="39" t="s">
        <v>299</v>
      </c>
      <c r="E11" s="40" t="s">
        <v>300</v>
      </c>
      <c r="F11" s="40" t="s">
        <v>301</v>
      </c>
      <c r="G11" s="40" t="s">
        <v>302</v>
      </c>
      <c r="H11" s="40" t="s">
        <v>305</v>
      </c>
      <c r="I11" s="43" t="s">
        <v>29</v>
      </c>
      <c r="J11" s="41" t="s">
        <v>269</v>
      </c>
    </row>
    <row r="13" spans="2:10" ht="15.6" x14ac:dyDescent="0.3">
      <c r="B13" s="36" t="s">
        <v>306</v>
      </c>
    </row>
    <row r="14" spans="2:10" ht="22.05" customHeight="1" x14ac:dyDescent="0.3">
      <c r="B14" s="65" t="s">
        <v>307</v>
      </c>
      <c r="C14" s="66"/>
      <c r="D14" s="53">
        <f>COUNTIF($J$5:$J$11,"DECIDED")</f>
        <v>4</v>
      </c>
    </row>
    <row r="15" spans="2:10" ht="22.05" customHeight="1" x14ac:dyDescent="0.3">
      <c r="B15" s="67" t="s">
        <v>308</v>
      </c>
      <c r="C15" s="68"/>
      <c r="D15" s="54">
        <f>COUNTIF($J$5:$J$11,"DEFERRED")</f>
        <v>3</v>
      </c>
    </row>
    <row r="16" spans="2:10" ht="22.05" customHeight="1" x14ac:dyDescent="0.3">
      <c r="B16" s="69" t="s">
        <v>309</v>
      </c>
      <c r="C16" s="70"/>
      <c r="D16" s="55">
        <f>COUNTA($B$5:$B$11)</f>
        <v>7</v>
      </c>
    </row>
  </sheetData>
  <mergeCells count="5">
    <mergeCell ref="B1:J1"/>
    <mergeCell ref="B2:J2"/>
    <mergeCell ref="B14:C14"/>
    <mergeCell ref="B15:C15"/>
    <mergeCell ref="B16:C16"/>
  </mergeCells>
  <conditionalFormatting sqref="C5:C11">
    <cfRule type="cellIs" dxfId="3" priority="4" operator="equal">
      <formula>"—"</formula>
    </cfRule>
  </conditionalFormatting>
  <conditionalFormatting sqref="H5:H11">
    <cfRule type="cellIs" dxfId="2" priority="3" operator="equal">
      <formula>"—"</formula>
    </cfRule>
  </conditionalFormatting>
  <conditionalFormatting sqref="J5:J11">
    <cfRule type="containsText" dxfId="1" priority="1" operator="containsText" text="DECIDED">
      <formula>NOT(ISERROR(SEARCH("DECIDED",J5)))</formula>
    </cfRule>
    <cfRule type="containsText" dxfId="0" priority="2" operator="containsText" text="DEFERRED">
      <formula>NOT(ISERROR(SEARCH("DEFERRED",J5)))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stakeholder-register</vt:lpstr>
      <vt:lpstr>stakeholder-conflicts</vt:lpstr>
      <vt:lpstr>scope-baseline</vt:lpstr>
      <vt:lpstr>constraints</vt:lpstr>
      <vt:lpstr>decision-log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ethan lindsay</cp:lastModifiedBy>
  <dcterms:created xsi:type="dcterms:W3CDTF">2026-09-06T18:15:21Z</dcterms:created>
  <dcterms:modified xsi:type="dcterms:W3CDTF">2026-09-06T19:55:47Z</dcterms:modified>
</cp:coreProperties>
</file>