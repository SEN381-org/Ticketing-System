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c906530d9ff38bc/Desktop/SEN381/Ticketing-System/docs/Requirements/Requirements Traceability Matrix/"/>
    </mc:Choice>
  </mc:AlternateContent>
  <xr:revisionPtr revIDLastSave="23" documentId="13_ncr:1_{B985FB7A-2EB4-42A8-80CA-EA96F303AA9F}" xr6:coauthVersionLast="47" xr6:coauthVersionMax="47" xr10:uidLastSave="{F3075BA6-508C-41BA-A1E8-C0B9BA589AD1}"/>
  <bookViews>
    <workbookView xWindow="-108" yWindow="-108" windowWidth="30936" windowHeight="17496" xr2:uid="{00000000-000D-0000-FFFF-FFFF00000000}"/>
  </bookViews>
  <sheets>
    <sheet name="RTM v0.10" sheetId="1" r:id="rId1"/>
    <sheet name="Status summary" sheetId="2" r:id="rId2"/>
  </sheets>
  <definedNames>
    <definedName name="_xlnm._FilterDatabase" localSheetId="0" hidden="1">'RTM v0.10'!$A$5:$R$84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E5" i="2"/>
  <c r="E6" i="2"/>
  <c r="E7" i="2"/>
  <c r="E8" i="2"/>
  <c r="E9" i="2"/>
  <c r="E10" i="2"/>
  <c r="E4" i="2"/>
</calcChain>
</file>

<file path=xl/sharedStrings.xml><?xml version="1.0" encoding="utf-8"?>
<sst xmlns="http://schemas.openxmlformats.org/spreadsheetml/2006/main" count="1464" uniqueCount="741">
  <si>
    <t>Requirements Traceability Matrix</t>
  </si>
  <si>
    <t>Legend:   amber = outstanding, owned by another criterion   ·   grey = controlled status, evidence not yet due   ·   red = requirement not yet baselined</t>
  </si>
  <si>
    <t>Req ID</t>
  </si>
  <si>
    <t>Source</t>
  </si>
  <si>
    <t>Requirement (current wording)</t>
  </si>
  <si>
    <t>Priority</t>
  </si>
  <si>
    <t>Acceptance criteria</t>
  </si>
  <si>
    <t>ASR / quality-driver link</t>
  </si>
  <si>
    <t>Architecture / module / component</t>
  </si>
  <si>
    <t>Data / persistence impact</t>
  </si>
  <si>
    <t>Design / interface decision</t>
  </si>
  <si>
    <t>Technology decision</t>
  </si>
  <si>
    <t>Implementation evidence</t>
  </si>
  <si>
    <t>Verification evidence</t>
  </si>
  <si>
    <t>Status</t>
  </si>
  <si>
    <t>ADR / change / risk reference</t>
  </si>
  <si>
    <t>FR-1.1</t>
  </si>
  <si>
    <t>SCP-012, CON-006</t>
  </si>
  <si>
    <t>The system will require a user to authenticate with a unique individual account before any service request data is displayed.</t>
  </si>
  <si>
    <t>High</t>
  </si>
  <si>
    <t>AC-FR-1.1 — Then the system returns no request data and presents the authentication prompt.</t>
  </si>
  <si>
    <t>ASR-01 consistent authorisation</t>
  </si>
  <si>
    <t>Identity &amp; Access — session middleware (presentation); users collection via repository (data access)</t>
  </si>
  <si>
    <t>users.email unique index (one individual account per person). Server-side session store in MongoDB (sessions collection, TTL). No requests read occurs before the guard resolves the session</t>
  </si>
  <si>
    <t>DEC-002 - MERN: MongoDB Atlas, Express, React, Node.js</t>
  </si>
  <si>
    <t>Planned / Not Yet Implemented</t>
  </si>
  <si>
    <t>Planned</t>
  </si>
  <si>
    <t>Baselined</t>
  </si>
  <si>
    <t>DEC-015</t>
  </si>
  <si>
    <t>FR-1.2</t>
  </si>
  <si>
    <t>SCP-012, STK-007, DEC-004</t>
  </si>
  <si>
    <t>The system will assign every authenticated user one or more roles from the controlled role set: Requester, Technician, Coordinator, Manager, Security Officer, Administrator.</t>
  </si>
  <si>
    <t>AC-FR-1.2 — Then the system rejects the save and reports that a role is required.</t>
  </si>
  <si>
    <t>Identity &amp; Access — ROLE set src/models/_shared.js; users/roles repositories (data access)</t>
  </si>
  <si>
    <t>users.roles: [enum ROLE] with validator length ≥ 1 (the schema rejection *is* AC-FR-1.2). roles collection seeded by migration from the single rule set (DEC-012)</t>
  </si>
  <si>
    <t>Pending - initial design decisions (Criterion E)</t>
  </si>
  <si>
    <t>DEC-004; DEC-012; review comment R-04 (code roles ≠ FR-1.2 set)</t>
  </si>
  <si>
    <t>FR-1.3</t>
  </si>
  <si>
    <t>DEC-004, CON-006, SCP-005</t>
  </si>
  <si>
    <t>The system will evaluate the acting user's role before executing any request view, action or status transition, and will reject the operation where the role is not authorised.</t>
  </si>
  <si>
    <t>AC-FR-1.3 — Then the system rejects the operation, makes no change to the request, and records the rejected attempt.</t>
  </si>
  <si>
    <t>Identity &amp; Access — route guard src/middleware/authorise.js (presentation) + access rule set src/domain/accessRules.js (application), DEC-012</t>
  </si>
  <si>
    <t>Effective permissions = roles.permissions ∪ groups.permissions, resolved per request, never cached in process (NFR-2.7). Rejected attempt recorded (AC-FR-1.3): auditLog insert origin:'access', eventType:'access.denied' by the app (insert-only privilege)</t>
  </si>
  <si>
    <t>DEC-015: 403 [further design entries pending - criterion E]</t>
  </si>
  <si>
    <t>Tested — tests/authorisationGuard.test.js route-table assertion (npm test 80/80 on 30/09/2026); negative verification in docs/evidence/R-01_negative_verification.txt</t>
  </si>
  <si>
    <t>DEC-004; DEC-017 (purpose B)</t>
  </si>
  <si>
    <t>FR-1.4</t>
  </si>
  <si>
    <t>STK-007, SCP-012</t>
  </si>
  <si>
    <t>The system will allow an Administrator to create a user account, amend its role assignments and revoke its access.</t>
  </si>
  <si>
    <t>AC-FR-1.4 — Then the account can no longer authenticate and its existing sessions are terminated.</t>
  </si>
  <si>
    <t>users.status (active/revoked), revokedAt, sessionEpoch. Revocation increments the epoch and every session carrying the old epoch is refused, which terminates existing sessions (AC-FR-1.4). Auth events to auditLog</t>
  </si>
  <si>
    <t>-</t>
  </si>
  <si>
    <t>FR-1.5</t>
  </si>
  <si>
    <t>CFL-002, STK-006, CON-007</t>
  </si>
  <si>
    <t>The system will restrict the description, comment history and action history of a request in a security category to users holding the Security Officer role.</t>
  </si>
  <si>
    <t>AC-FR-1.5 — Then the description, comment history and action history are absent from both the rendered page and the underlying response.</t>
  </si>
  <si>
    <t>ASR-01 consistent authorisation; ASR-03 personal-information protection</t>
  </si>
  <si>
    <t>Identity &amp; Access — route guard src/middleware/authorise.js (presentation) + access rule set src/domain/accessRules.js (application), DEC-012; response serialiser point 3 (presentation, planned — C-01)</t>
  </si>
  <si>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</si>
  <si>
    <t>Partially implemented — mayActOnRequest() and mayViewRequest() restrict security-category requests to the Security Officer in the service layer (src/domain/accessRules.js). Field-level read restriction in the response serialiser not yet built (no read endpoint)</t>
  </si>
  <si>
    <t>Tested (service path) — tests/statusTransitionService.test.js (npm test 80/80 on 30/09/2026); read path pending</t>
  </si>
  <si>
    <t>CFL-002; RSK-005; RSK-009; condition C-01; CFL-002 (Proposed)</t>
  </si>
  <si>
    <t>FR-2.1</t>
  </si>
  <si>
    <t>SCP-001, STK-001</t>
  </si>
  <si>
    <t>The system will allow a user holding the Requester role to submit a service request.</t>
  </si>
  <si>
    <t>AC-FR-2.1 — Then the system stores a new request and returns its unique reference.</t>
  </si>
  <si>
    <t>No architectural driver (§6A.3)</t>
  </si>
  <si>
    <t>Requests — submission route (presentation, planned) and request service (application)</t>
  </si>
  <si>
    <t>One txn: counters $inc → req insert (status: Received, version: 1) → hist created entry (requestVersion: 1)</t>
  </si>
  <si>
    <t>DEC-015: POST /api/v1/requests, Idempotency-Key required, 201 + Location + ETag [further design entries pending - criterion E]</t>
  </si>
  <si>
    <t>DEC-015, DEC-016</t>
  </si>
  <si>
    <t>FR-2.2</t>
  </si>
  <si>
    <t>DEC-006, CFL-001</t>
  </si>
  <si>
    <t>The system will require exactly three fields at submission — category, location and description — and will treat no other field as mandatory.</t>
  </si>
  <si>
    <t>AC-FR-2.2a — Then the system accepts the submission.
AC-FR-2.2b — Then the system rejects the submission and names the missing field.</t>
  </si>
  <si>
    <t>ASR-03 personal-information protection</t>
  </si>
  <si>
    <t>Requests — Request model src/models/Request.js (three mandatory fields)</t>
  </si>
  <si>
    <t>Exactly three required fields at schema level: categoryId, location, description. No other field is required; title removed from the model</t>
  </si>
  <si>
    <t>DEC-015: 400 names the missing field (AC-FR-2.2b) [further design entries pending - criterion E]</t>
  </si>
  <si>
    <t>Partially implemented — Request schema requires categoryId, location and description and nothing else (src/models/Request.js, DEC-006). Submission endpoint not yet built</t>
  </si>
  <si>
    <t>Tested (model level) — tests/models.test.js (npm test 80/80 on 30/09/2026); endpoint test pending</t>
  </si>
  <si>
    <t>DEC-006; review comment R-08</t>
  </si>
  <si>
    <t>FR-2.3</t>
  </si>
  <si>
    <t>SCP-002, STK-004, STK-005</t>
  </si>
  <si>
    <t>The system will require the requester to select the category from a controlled list and will not accept a free-text category value.</t>
  </si>
  <si>
    <t>AC-FR-2.3 — Then the system rejects the submission and no request is stored.</t>
  </si>
  <si>
    <t>Requests + Reference Data — category reference (categoryId) validated against categories</t>
  </si>
  <si>
    <t>req.categoryId is an ObjectId reference to categories; there is no free-text category field. The service rejects inactive categories. strict:'throw' rejects an unknown category string</t>
  </si>
  <si>
    <t>FR-2.4</t>
  </si>
  <si>
    <t>DEC-006, CFL-001, STK-005</t>
  </si>
  <si>
    <t>The system will allow a requester to add further optional detail to a request after it has been submitted.</t>
  </si>
  <si>
    <t>Medium</t>
  </si>
  <si>
    <t>AC-FR-2.4 — Then the detail is stored against the request together with the date, time and acting user.</t>
  </si>
  <si>
    <t>Requests — request service update of optional detail (application, planned)</t>
  </si>
  <si>
    <t>Additional detail stored as a hist entry changeType:'detail' (body, actorId, occurredAt). Append-only; nulled by PROC-001</t>
  </si>
  <si>
    <t>DEC-015: POST /requests/{id}/details [further design entries pending - criterion E]</t>
  </si>
  <si>
    <t>DEC-006; DEC-017</t>
  </si>
  <si>
    <t>FR-2.5</t>
  </si>
  <si>
    <t>SCP-008, STK-005, CON-007</t>
  </si>
  <si>
    <t>The system will record the submitting user, the date and the time against every request at the point of submission.</t>
  </si>
  <si>
    <t>AC-FR-2.5 — Then it carries the submitting user identifier, the submission date and the submission time.</t>
  </si>
  <si>
    <t>ASR-02 lifecycle integrity and audit</t>
  </si>
  <si>
    <t>Requests — request service records submitter and timestamp (application)</t>
  </si>
  <si>
    <t>req.submittedById, req.requesterId, req.submittedAt (immutable), plus the hist created entry</t>
  </si>
  <si>
    <t>FR-2.6</t>
  </si>
  <si>
    <t>SCP-004, STK-001, Master Brief s.2</t>
  </si>
  <si>
    <t>The system will allocate a unique, immutable reference to every submitted request and display it to the requester on successful submission.</t>
  </si>
  <si>
    <t>AC-FR-2.6 — Then it contains a request reference that is unique across all requests and that does not change for the life of the request.</t>
  </si>
  <si>
    <t>Requests — immutable reference field in Request model</t>
  </si>
  <si>
    <t>req.reference unique index, immutable: true, format CC-&lt;yyyy&gt;-&lt;seq&gt;, generated from counters inside the create txn</t>
  </si>
  <si>
    <t>DEC-016</t>
  </si>
  <si>
    <t>FR-3.1</t>
  </si>
  <si>
    <t>SCP-003, STK-001</t>
  </si>
  <si>
    <t>The system will display to a requester a list of every request that requester has submitted.</t>
  </si>
  <si>
    <t>AC-FR-3.1 — Then all three of their own requests are listed and the other user's request is not.</t>
  </si>
  <si>
    <t>Requests — requester list query via request repository (data access)</t>
  </si>
  <si>
    <t>Query req {campusId, requesterId} sorted by submittedAt, index {campusId, requesterId, submittedAt}. After PROC-001, requesterId is null, so anonymised requests leave the requester's list (intended: the purpose is spent)</t>
  </si>
  <si>
    <t>DEC-017</t>
  </si>
  <si>
    <t>FR-3.2</t>
  </si>
  <si>
    <t>The system will display the current status of each request in the requester's own list.</t>
  </si>
  <si>
    <t>AC-FR-3.2 — Then the current status of that request is shown against it.</t>
  </si>
  <si>
    <t>Requests — requester list view (presentation)</t>
  </si>
  <si>
    <t>req.status in the same projection; no join</t>
  </si>
  <si>
    <t>FR-3.3</t>
  </si>
  <si>
    <t>SCP-003, SCP-008</t>
  </si>
  <si>
    <t>The system will display to the requester the dated status history of their own request.</t>
  </si>
  <si>
    <t>AC-FR-3.3 — Then each status change is listed with its date.</t>
  </si>
  <si>
    <t>Lifecycle &amp; Work Record — history read via historyRepository, displayed by Requests view</t>
  </si>
  <si>
    <t>hist entries with changeType ∈ {created, status} for the request, ordered by requestVersion via unique index {requestId, requestVersion}</t>
  </si>
  <si>
    <t>DEC-015: GET /requests/{id}/history [further design entries pending - criterion E]</t>
  </si>
  <si>
    <t>FR-3.4</t>
  </si>
  <si>
    <t>SCP-004, STK-001</t>
  </si>
  <si>
    <t>The system will display an in-application notification to the requester when their request is accepted, rejected, updated or completed.</t>
  </si>
  <si>
    <t>AC-FR-3.4 — Then an in-application notification identifying the request and the change is available to that requester on their next session.</t>
  </si>
  <si>
    <t>Notifications — notificationSubscriber via event registry src/events/subscribers/index.js (DEC-011)</t>
  </si>
  <si>
    <t>notifications (userId, requestReference, kind, displayStatus, sourceHistoryId unique with userId, read). Written by NotificationSubscriber after commit (DEC-011); idempotent on redelivery; TTL 30 days</t>
  </si>
  <si>
    <t>DEC-011, DEC-017</t>
  </si>
  <si>
    <t>FR-3.5</t>
  </si>
  <si>
    <t>CFL-002, STK-006, STK-001</t>
  </si>
  <si>
    <t>The system will limit the status values shown to the requester on a security-category request to Received, In Progress and Closed.</t>
  </si>
  <si>
    <t>AC-FR-3.5 — Then the displayed status is one of Received, In Progress or Closed, and no other status value appears.</t>
  </si>
  <si>
    <t>Requests — visibleStatusFor in access rule set (application); serialiser (presentation), DEC-012 point 3</t>
  </si>
  <si>
    <t>Stored req.status remains the internal FR-6.1 value. The requester-facing mapping (Received / In Progress / Closed) is applied at the serialiser and before writing notifications.displayStatus</t>
  </si>
  <si>
    <t>Partially implemented — visibleStatusFor() maps internal status to Received / In Progress / Closed (src/domain/accessRules.js); applied to requester notifications (src/events/subscribers/notificationSubscriber.js). Requester read endpoint not yet built</t>
  </si>
  <si>
    <t>Tested (notification path) — tests/statusTransitionService.test.js, tests/authorisationGuard.test.js (npm test 80/80 on 30/09/2026); read path pending</t>
  </si>
  <si>
    <t>CFL-002; RSK-005; RSK-009; condition C-01; review comment R-18 (notification leaks internal status)</t>
  </si>
  <si>
    <t>FR-3.6</t>
  </si>
  <si>
    <t>CON-007, SCP-012, STK-009</t>
  </si>
  <si>
    <t>The system will prevent a requester from viewing any request submitted by another user.</t>
  </si>
  <si>
    <t>AC-FR-3.6 — Then the system refuses the request and returns no data from it.</t>
  </si>
  <si>
    <t>Requests — object-level check in service (application), DEC-012 point 2</t>
  </si>
  <si>
    <t>Object-level filter requesterId == actor.id, applied in the repository query itself. No data read for a foreign request</t>
  </si>
  <si>
    <t>DEC-015: 404 (no existence oracle) [further design entries pending - criterion E]</t>
  </si>
  <si>
    <t>DEC-012 point 2</t>
  </si>
  <si>
    <t>FR-4.1</t>
  </si>
  <si>
    <t>SCP-005, STK-002, STK-003</t>
  </si>
  <si>
    <t>The system will present to each staff user the set of requests their role and category authorisation permit them to view.</t>
  </si>
  <si>
    <t>AC-FR-4.1 — Then the list contains every request their authorisation permits and no request outside it.</t>
  </si>
  <si>
    <t>Requests — category authorisation in access rule set (application), DEC-012 point 2</t>
  </si>
  <si>
    <t>Filter categoryId ∈ effectiveCategoryAuthorisations(user ∪ groups); index {campusId, categoryId, assigneeId, status}</t>
  </si>
  <si>
    <t>FR-4.2</t>
  </si>
  <si>
    <t>SCP-005, Master Brief s.3</t>
  </si>
  <si>
    <t>The system will display the full detail of a request to a staff user authorised to view it.</t>
  </si>
  <si>
    <t>AC-FR-4.2 — Then the category, location, description, status, submission details, assignment, comment history and action history are all displayed.</t>
  </si>
  <si>
    <t>Requests — detail read after object-level check (application)</t>
  </si>
  <si>
    <t>Reads req + hist timeline. No additional entity; the model supports every field AC-FR-4.2 lists</t>
  </si>
  <si>
    <t>Proposed — OI-01</t>
  </si>
  <si>
    <t>OI-01; OI-01 (unchanged)</t>
  </si>
  <si>
    <t>FR-4.3</t>
  </si>
  <si>
    <t>SCP-006, STK-004</t>
  </si>
  <si>
    <t>The system will allow a staff user to search requests by request reference, category, location and description text.</t>
  </si>
  <si>
    <t>AC-FR-4.3 — Then the request appears in the results.</t>
  </si>
  <si>
    <t>ASR-04 scalability headroom</t>
  </si>
  <si>
    <t>Requests — search query in request repository, index-justified (data access, NFR-2.6)</t>
  </si>
  <si>
    <t>Reference: unique index on reference. Category/location/description: text index {description, location} with category filter</t>
  </si>
  <si>
    <t>DEC-015: POST /requests/search (search text kept out of URIs, CON-007) [further design entries pending - criterion E]</t>
  </si>
  <si>
    <t>FR-4.4</t>
  </si>
  <si>
    <t>The system will allow a staff user to filter the request list by status, category, assigned user and submission date range.</t>
  </si>
  <si>
    <t>AC-FR-4.4 — Then only requests in that status are listed.</t>
  </si>
  <si>
    <t>Requests — filter query in request repository, index-justified (data access, NFR-2.6)</t>
  </si>
  <si>
    <t>Indexes {campusId, status, submittedAt}, {campusId, assigneeId, status}, {campusId, submittedAt, categoryId}</t>
  </si>
  <si>
    <t>DEC-015: query params status, categoryId, assigneeId, from, to; cursor pagination [further design entries pending - criterion E]</t>
  </si>
  <si>
    <t>NFR-2.6</t>
  </si>
  <si>
    <t>FR-4.5</t>
  </si>
  <si>
    <t>The system will allow a staff user to sort the request list by submission date, status and category.</t>
  </si>
  <si>
    <t>Low</t>
  </si>
  <si>
    <t>AC-FR-4.5 — Then the most recently submitted request appears first.</t>
  </si>
  <si>
    <t>Requests — sort query in request repository, index-justified (data access, NFR-2.6)</t>
  </si>
  <si>
    <t>Sort keys (submittedAt, status, categoryId) are covered by the FR-4.4 indexes; no in-memory sort (M0 32 MB sort limit)</t>
  </si>
  <si>
    <t>FR-4.6</t>
  </si>
  <si>
    <t>CFL-003, STK-002, STK-003, STK-004</t>
  </si>
  <si>
    <t>The system will present unassigned requests as a distinct set to the Coordinator and to Technicians whose category authorisation matches the request category.</t>
  </si>
  <si>
    <t>AC-FR-4.6 — Then the request appears for the first Technician and does not appear for the second.</t>
  </si>
  <si>
    <t>Requests — unassigned-set query plus category authorisation (application)</t>
  </si>
  <si>
    <t>assigneeId: null + categoryId filter on index {campusId, categoryId, assigneeId, status}</t>
  </si>
  <si>
    <t>FR-5.1</t>
  </si>
  <si>
    <t>SCP-007, STK-004, CFL-003</t>
  </si>
  <si>
    <t>The system will allow a Coordinator to assign a request to a named staff user.</t>
  </si>
  <si>
    <t>AC-FR-5.1 — Then the request records that user as its owner and no longer appears in the unassigned set.</t>
  </si>
  <si>
    <t>Assignment — assignment service (application, planned); POST /api/v1/requests/:id/assignments (DEC-015)</t>
  </si>
  <si>
    <t>One txn: req.assigneeId/assignedAt, status → Assigned, version+1; hist assignment entry (fromAssigneeId, toAssigneeId)</t>
  </si>
  <si>
    <t>DEC-015: POST /requests/{id}/assignments, If-Match, Idempotency-Key [further design entries pending - criterion E]</t>
  </si>
  <si>
    <t>FR-5.2</t>
  </si>
  <si>
    <t>CFL-003, STK-002, STK-003</t>
  </si>
  <si>
    <t>The system will allow a Technician to accept an unassigned request whose category matches their own category authorisation.</t>
  </si>
  <si>
    <t>AC-FR-5.2 — Then that Technician is recorded as the owner of the request.</t>
  </si>
  <si>
    <t>Assignment — accept path with category authorisation (application, planned)</t>
  </si>
  <si>
    <t>As FR-5.1, with update filter {assigneeId: null, version}, so an accept cannot overwrite an owner. Authorisation from categoryAuthorisations</t>
  </si>
  <si>
    <t>FR-5.3</t>
  </si>
  <si>
    <t>CFL-003, STK-004</t>
  </si>
  <si>
    <t>The system will reject any attempt by a Technician to accept a request that already has an assigned owner.</t>
  </si>
  <si>
    <t>AC-FR-5.3 — Then the system refuses, the recorded owner remains Technician 1, and the refused attempt is recorded.</t>
  </si>
  <si>
    <t>Assignment — conditional update on version (data access, DEC-016)</t>
  </si>
  <si>
    <t>The conditional update matches 0 documents when an owner exists: refused and the owner is unchanged. The refused attempt is written to auditLog (access.denied) as AC-FR-5.3 requires</t>
  </si>
  <si>
    <t>DEC-015: 422 (already assigned) / 412 (stale version) [further design entries pending - criterion E]</t>
  </si>
  <si>
    <t>FR-5.4</t>
  </si>
  <si>
    <t>SCP-008, CFL-003, STK-005</t>
  </si>
  <si>
    <t>The system will record the acting user, the date and the time for every assignment and reassignment.</t>
  </si>
  <si>
    <t>AC-FR-5.4 — Then the acting user, date and time of both the assignment and the reassignment are present.</t>
  </si>
  <si>
    <t>Assignment + Lifecycle &amp; Work Record — history entry per assignment (append-only)</t>
  </si>
  <si>
    <t>hist assignment entry: actorId, occurredAt, from/toAssigneeId; req.lastActorId for trigger attribution</t>
  </si>
  <si>
    <t>FR-5.5</t>
  </si>
  <si>
    <t>SCP-007, STK-004</t>
  </si>
  <si>
    <t>The system will allow a Coordinator to reassign a request that already has an assigned owner.</t>
  </si>
  <si>
    <t>AC-FR-5.5 — Then Technician 2 is recorded as the owner and the previous assignment remains visible in the history.</t>
  </si>
  <si>
    <t>Assignment — reassignment path (application, planned)</t>
  </si>
  <si>
    <t>Reassignment hist entry keeps fromAssigneeId, so the previous owner remains visible (AC-FR-5.5)</t>
  </si>
  <si>
    <t>FR-6.1</t>
  </si>
  <si>
    <t>SCP-008, STK-005</t>
  </si>
  <si>
    <t>The system will maintain a controlled set of request statuses: Received, Assigned, In Progress, On Hold, Resolved, Closed and Rejected.</t>
  </si>
  <si>
    <t>AC-FR-6.1 — Then they are exactly Received, Assigned, In Progress, On Hold, Resolved, Closed and Rejected.</t>
  </si>
  <si>
    <t>Lifecycle &amp; Work Record — STATUS set src/models/_shared.js</t>
  </si>
  <si>
    <t>req.status enum of exactly Received, Assigned, In Progress, On Hold, Resolved, Closed, Rejected; hist.fromStatus/toStatus share the enum</t>
  </si>
  <si>
    <t>Implemented — STATUS holds the seven FR-6.1 values in src/models/_shared.js; imported by src/domain/requestStatus.js (R-04/R-07) and used as the Request.status enum</t>
  </si>
  <si>
    <t>Tested — tests/requestStatus.test.js, tests/models.test.js (npm test 80/80 on 30/09/2026)</t>
  </si>
  <si>
    <t>Review comment R-07 (code uses different values)</t>
  </si>
  <si>
    <t>FR-6.2</t>
  </si>
  <si>
    <t>SCP-008</t>
  </si>
  <si>
    <t>The system will permit only the status transitions defined in the controlled transition model and will reject any other transition.</t>
  </si>
  <si>
    <t>AC-FR-6.2 — Then the system refuses it and the status is unchanged.</t>
  </si>
  <si>
    <t>Lifecycle &amp; Work Record — StatusTransitionService src/services/statusTransitionService.js and transition model src/domain/requestStatus.js (application); historyRepository (data access); POST /api/v1/requests/:id/transitions (DEC-015)</t>
  </si>
  <si>
    <t>Transition applied as a version-conditioned update + hist insert in one txn; a refused transition writes nothing</t>
  </si>
  <si>
    <t>DEC-015: POST /requests/{id}/transitions (event, not field update); 422 illegal, 412 stale, 428 missing If-Match [further design entries pending - criterion E]</t>
  </si>
  <si>
    <t>Implemented — TRANSITIONS table and checkTransition() in src/domain/requestStatus.js, applied by src/services/statusTransitionService.js; POST /api/v1/requests/{id}/transitions (src/routes/requestRoutes.js, docs/api/openapi.yaml)</t>
  </si>
  <si>
    <t>Tested — tests/requestStatus.test.js, tests/statusTransitionService.test.js, tests/requestRoutes.test.js (npm test 80/80 on 30/09/2026)</t>
  </si>
  <si>
    <t>DEC-015, DEC-016, CR-001</t>
  </si>
  <si>
    <t>FR-6.3</t>
  </si>
  <si>
    <t>The system will record the acting user, previous status, new status, date and time for every status transition.</t>
  </si>
  <si>
    <t>AC-FR-6.3 — Then the entry records the acting user, the previous status, the new status, the date and the time.</t>
  </si>
  <si>
    <t>hist status entry: actorId, actorRole, fromStatus, toStatus, occurredAt, requestVersion</t>
  </si>
  <si>
    <t>Implemented — StatusTransitionService appends a requestHistory entry (actorId, actorRole, fromStatus, toStatus, occurredAt, requestVersion) in the same unit of work as the status change (src/infrastructure/unitOfWork.js, DEC-016)</t>
  </si>
  <si>
    <t>Tested — tests/statusTransitionService.test.js, tests/models.test.js (npm test 80/80 on 30/09/2026); rollback against a live replica set is M3</t>
  </si>
  <si>
    <t>FR-6.4</t>
  </si>
  <si>
    <t>SCP-008, SCP-012, DEC-004</t>
  </si>
  <si>
    <t>The system will restrict each status transition to the roles authorised to perform that transition.</t>
  </si>
  <si>
    <t>AC-FR-6.4 — Then the system refuses it and the status is unchanged.</t>
  </si>
  <si>
    <t>Lifecycle &amp; Work Record — role check in transition model (application) + route guard src/middleware/authorise.js (presentation) + access rule set src/domain/accessRules.js (application), DEC-012</t>
  </si>
  <si>
    <t>hist.actorRole recorded on every entry; role verdict computed before any write</t>
  </si>
  <si>
    <t>DEC-015: 403/422 [further design entries pending - criterion E]</t>
  </si>
  <si>
    <t>Implemented — per-transition roles and dispositionRolesFor() in src/domain/requestStatus.js; route guard requireOperation('request:transition') in src/middleware/authorise.js</t>
  </si>
  <si>
    <t>Tested — tests/requestStatus.test.js, tests/statusTransitionService.test.js, tests/authorisationGuard.test.js (npm test 80/80 on 30/09/2026)</t>
  </si>
  <si>
    <t>DEC-004</t>
  </si>
  <si>
    <t>FR-6.5</t>
  </si>
  <si>
    <t>SCP-009, SCP-010</t>
  </si>
  <si>
    <t>The system will require resolution information to be recorded before a request may be moved to Resolved.</t>
  </si>
  <si>
    <t>AC-FR-6.5 — Then the system refuses and states that resolution information is required.</t>
  </si>
  <si>
    <t>Lifecycle &amp; Work Record — transition model requestStatus.js (requiresResolution)</t>
  </si>
  <si>
    <t>req.resolution.{summary, recordedAt, recordedById} must be non-null before the domain permits → Resolved; set in the same txn as the transition</t>
  </si>
  <si>
    <t>DEC-015: 422 problem "resolution-required" [further design entries pending - criterion E]</t>
  </si>
  <si>
    <t>Implemented — In Progress → Resolved requires resolution information; resolution.* written by the transition (src/domain/requestStatus.js, src/services/statusTransitionService.js). Reopen behaviour open under OI-15</t>
  </si>
  <si>
    <t>Tested — tests/requestStatus.test.js (npm test 80/80 on 30/09/2026)</t>
  </si>
  <si>
    <t>FR-6.6</t>
  </si>
  <si>
    <t>SCP-010, SCP-004</t>
  </si>
  <si>
    <t>The system will allow an authorised staff user to close or reject a request with a recorded reason.</t>
  </si>
  <si>
    <t>AC-FR-6.6 — Then the first attempt is refused and the second stores the reason and displays it in the history.</t>
  </si>
  <si>
    <t>Lifecycle &amp; Work Record — transition model requestStatus.js (REASON_REQUIRED)</t>
  </si>
  <si>
    <t>req.closure.{reason, closedAt, closedById}; the reason also stored as hist.body. closure.closedAt starts the NFR-4.2 retention clock</t>
  </si>
  <si>
    <t>Implemented — a reason is required for Closed and Rejected; closure.* recorded; Security Officer disposes security-category requests (PR #63, B-1)</t>
  </si>
  <si>
    <t>Tested — tests/requestStatus.test.js, tests/statusTransitionService.test.js (npm test 80/80 on 30/09/2026)</t>
  </si>
  <si>
    <t>DEC-017, PROC-001</t>
  </si>
  <si>
    <t>FR-6.7</t>
  </si>
  <si>
    <t>SCP-008, CON-007, CON-015, Master Brief s.2</t>
  </si>
  <si>
    <t>The system will prevent any user, including an Administrator, from altering or deleting a recorded status transition, assignment or comment entry.</t>
  </si>
  <si>
    <t>AC-FR-6.7 — Then no such operation is available and the entry is unchanged.</t>
  </si>
  <si>
    <t>Lifecycle &amp; Work Record — RequestHistory model (append-only, DB-01), historyRepository (no mutating method); Atlas trigger in the data store (CON-015)</t>
  </si>
  <si>
    <t>DB-01, three layers: repository interface; schema hooks incl. bulkWrite; Atlas role: app user has find+insert only on requestHistory. The sole exception is PROC-001 (CR-003)</t>
  </si>
  <si>
    <t>Tested — tests/models.test.js (mutation paths refused), tests/statusTransitionService.test.js (npm test 80/80 on 30/09/2026); layer 3 verified at M3 against a test cluster</t>
  </si>
  <si>
    <t>CON-015; DEC-002; RSK-012; DB-01; CR-003; OI-13; review comment R-11</t>
  </si>
  <si>
    <t>FR-7.1</t>
  </si>
  <si>
    <t>SCP-009</t>
  </si>
  <si>
    <t>The system will allow an authorised staff user to add a comment to a request.</t>
  </si>
  <si>
    <t>AC-FR-7.1 — Then the comment is stored against the request and is visible to users authorised to view it.</t>
  </si>
  <si>
    <t>Lifecycle &amp; Work Record — work record service (application, planned)</t>
  </si>
  <si>
    <t>hist changeType:'comment', body, attribution; append-only (DB-01). Visibility per DEC-012</t>
  </si>
  <si>
    <t>DEC-015: POST /requests/{id}/comments + Idempotency-Key (duplicates on retry impossible) [further design entries pending - criterion E]</t>
  </si>
  <si>
    <t>FR-7.2</t>
  </si>
  <si>
    <t>The system will allow an authorised staff user to record an action taken against a request.</t>
  </si>
  <si>
    <t>AC-FR-7.2 — Then the action is stored against the request.</t>
  </si>
  <si>
    <t>hist changeType:'action'</t>
  </si>
  <si>
    <t>as FR-7.1, /actions [further design entries pending - criterion E]</t>
  </si>
  <si>
    <t>FR-7.3</t>
  </si>
  <si>
    <t>SCP-009, SCP-008</t>
  </si>
  <si>
    <t>The system will record the authoring user, date and time against every comment and action entry.</t>
  </si>
  <si>
    <t>AC-FR-7.3 — Then it carries the authoring user, the date and the time.</t>
  </si>
  <si>
    <t>Lifecycle &amp; Work Record — history entry records author and time (append-only)</t>
  </si>
  <si>
    <t>Audit fields on write: acting user, date, time</t>
  </si>
  <si>
    <t>FR-7.4</t>
  </si>
  <si>
    <t>SCP-009, SCP-005</t>
  </si>
  <si>
    <t>The system will display the comment and action history of a request in chronological order to users authorised to view it.</t>
  </si>
  <si>
    <t>AC-FR-7.4 — Then all five entries are listed in ascending order of the time recorded.</t>
  </si>
  <si>
    <t>Lifecycle &amp; Work Record — history read, filtered by access rule set (application)</t>
  </si>
  <si>
    <t>Order by requestVersion (monotonic per request, DB-unique) rather than occurredAt, so clock skew cannot reorder the timeline</t>
  </si>
  <si>
    <t>FR-7.5</t>
  </si>
  <si>
    <t>The system will allow an authorised staff user to record resolution information against a request.</t>
  </si>
  <si>
    <t>AC-FR-7.5 — Then it is stored against the request and is visible in the request detail.</t>
  </si>
  <si>
    <t>Lifecycle &amp; Work Record — resolution fields recorded by the transition to Resolved</t>
  </si>
  <si>
    <t>req.resolution sub-document + hist changeType:'resolution' in one txn</t>
  </si>
  <si>
    <t>FR-8.1</t>
  </si>
  <si>
    <t>SCP-011, STK-005</t>
  </si>
  <si>
    <t>The system will present to a Manager the count of requests in each status.</t>
  </si>
  <si>
    <t>AC-FR-8.1 — Then a count is shown for each status and the counts sum to the total number of requests within the applied filter.</t>
  </si>
  <si>
    <t>ASR-04 scalability headroom; ASR-03 personal-information protection</t>
  </si>
  <si>
    <t>Reporting — reportingProjectionSubscriber → reportingCounts (DEC-011)</t>
  </si>
  <si>
    <t>reportingCounts {campusId, categoryId, status, count} projection (DEC-011 subscriber), rebuildable from req by the reconciliation job. Counts sum to the total (AC-FR-8.1) because the rebuild is exact</t>
  </si>
  <si>
    <t>DEC-011; review comment R-17</t>
  </si>
  <si>
    <t>FR-8.2</t>
  </si>
  <si>
    <t>The system will present to a Manager the count of requests in each category.</t>
  </si>
  <si>
    <t>AC-FR-8.2 — Then a count is shown for each category.</t>
  </si>
  <si>
    <t>Same projection grouped by categoryId</t>
  </si>
  <si>
    <t>FR-8.3</t>
  </si>
  <si>
    <t>The system will identify a request as overdue where its elapsed open time exceeds the target resolution time defined for its category.</t>
  </si>
  <si>
    <t>AC-FR-8.3 — Then the first request is identified as overdue and the second is not.</t>
  </si>
  <si>
    <t>Reporting — overdue calculation (application, planned; target undefined — C-02)</t>
  </si>
  <si>
    <t>req.dueAt computed from categories.targetResolutionHours at submission; overdue = non-terminal ∧ dueAt &lt; now</t>
  </si>
  <si>
    <t>RSK-003 / C-02 (target not agreed)</t>
  </si>
  <si>
    <t>FR-8.4</t>
  </si>
  <si>
    <t>The system will allow a Manager to define and amend the target resolution time for each category.</t>
  </si>
  <si>
    <t>AC-FR-8.4 — Then the value is stored and is used by the overdue calculation verified in AC-FR-8.3.</t>
  </si>
  <si>
    <t>Reporting + Reference Data — category target resolution time (planned)</t>
  </si>
  <si>
    <t>categories.targetResolutionHours; an amendment recomputes dueAt for open requests in that category (batch, audited)</t>
  </si>
  <si>
    <t>Proposed — OI-02</t>
  </si>
  <si>
    <t>OI-02; OI-02 (unchanged)</t>
  </si>
  <si>
    <t>FR-8.5</t>
  </si>
  <si>
    <t>The system will allow the management view to be filtered by submission date range and by category.</t>
  </si>
  <si>
    <t>AC-FR-8.5 — Then the displayed counts include only requests matching both conditions.</t>
  </si>
  <si>
    <t>Reporting — filtered read of reportingCounts (data access)</t>
  </si>
  <si>
    <t>Aggregation over req, index {campusId, submittedAt, categoryId}. Not served by reportingCounts, because counters cannot be sliced by an arbitrary date range</t>
  </si>
  <si>
    <t>FR-8.6</t>
  </si>
  <si>
    <t>CFL-002, STK-006, STK-005, CON-007</t>
  </si>
  <si>
    <t>The system will exclude security-category request detail from management views presented to users who do not hold the Security Officer role, while still including those requests in the status and category counts.</t>
  </si>
  <si>
    <t>AC-FR-8.6 — Then those requests are included in the status and category counts, and their description, comments and actions are not reachable from that view.</t>
  </si>
  <si>
    <t>Reporting — field-level rule in access rule set (application), DEC-012</t>
  </si>
  <si>
    <t>reportingCounts holds no detail fields, so security requests are counted without exposure. Detail excluded at the serialiser</t>
  </si>
  <si>
    <t>CFL-002; RSK-005; RSK-009; condition C-01</t>
  </si>
  <si>
    <t>FR-9.1</t>
  </si>
  <si>
    <t>SCP-002, STK-007</t>
  </si>
  <si>
    <t>The system will allow an Administrator to create, amend and deactivate a service request category.</t>
  </si>
  <si>
    <t>AC-FR-9.1 — Then the category is no longer selectable on the submission form.</t>
  </si>
  <si>
    <t>Reference Data — category administration service (application, planned)</t>
  </si>
  <si>
    <t>categories.active flag; categories are never deleted</t>
  </si>
  <si>
    <t>Proposed — OI-03</t>
  </si>
  <si>
    <t>OI-03; OI-03 (unchanged)</t>
  </si>
  <si>
    <t>FR-1.6</t>
  </si>
  <si>
    <t>CON-019, STK-010, SCP-012, STK-007</t>
  </si>
  <si>
    <t>The system will allow an Administrator to define user groups, assign authorisation to a group, and derive a user's effective permissions from the combination of their roles and their group memberships.</t>
  </si>
  <si>
    <t>AC-FR-1.6 — Then the user's effective permissions include the group's authorisation, and removing the user from the group withdraws it.</t>
  </si>
  <si>
    <t>Identity &amp; Access — groups collection and effective-permission derivation (application, planned)</t>
  </si>
  <si>
    <t>groups collection (permissions, categoryAuthorisations, active); users.groupIds. Removing a user from a group withdraws the authorisation at the next request, with no cached copy (AC-FR-1.6)</t>
  </si>
  <si>
    <t>FR-9.2</t>
  </si>
  <si>
    <t>SCP-002, SCP-011, STK-005</t>
  </si>
  <si>
    <t>The system will retain existing requests and their reporting history against a category that has been deactivated.</t>
  </si>
  <si>
    <t>AC-FR-9.2 — Then those requests retain the category and continue to appear in the category counts verified in AC-FR-8.2.</t>
  </si>
  <si>
    <t>Reference Data + Reporting — deactivation flag; counts retained in reportingCounts</t>
  </si>
  <si>
    <t>Retention rule applies: one month for identifiable data (DEC-005); aggregates retained beyond</t>
  </si>
  <si>
    <t>NFR-1.1</t>
  </si>
  <si>
    <t>CON-008, CON-002, CON-004</t>
  </si>
  <si>
    <t>The system will be fully operable through the current release and one prior release of Google Chrome, Microsoft Edge and Mozilla Firefox on Windows, with no client-side installation.</t>
  </si>
  <si>
    <t>AC-NFR-1.1 — Then each journey completes with no functional failure and without any client-side installation.</t>
  </si>
  <si>
    <t>ASR-06 deployability within cost</t>
  </si>
  <si>
    <t>Physical tier 1 — browser client; no installation</t>
  </si>
  <si>
    <t>No persistence consequence. Browser compatibility is a client property; the API contract is browser-agnostic JSON</t>
  </si>
  <si>
    <t>DEC-002 - MERN: MongoDB Atlas, Express, React, Node.js | React client; browser set unconfirmed (OI-07)</t>
  </si>
  <si>
    <t>Baselined — assumption open (OI-07)</t>
  </si>
  <si>
    <t>OI-07; OI-07 (browser set unconfirmed at DEC-002 closure)</t>
  </si>
  <si>
    <t>NFR-1.2</t>
  </si>
  <si>
    <t>CON-011, DEC-007 (Revised), STK-010, CON-004</t>
  </si>
  <si>
    <t>The system will present every Requester and Technician function usably at viewport widths from 360 CSS pixels upward, with no horizontal scrolling and no interactive control smaller than 44 x 44 CSS pixels.</t>
  </si>
  <si>
    <t>AC-NFR-1.2 — Then no horizontal scrolling is required and every interactive control measures at least 44 x 44 CSS pixels.</t>
  </si>
  <si>
    <t>Screened out — not architectural (§6A.3.2)</t>
  </si>
  <si>
    <t>Presentation layer — responsive React client</t>
  </si>
  <si>
    <t>No persistence consequence. Viewport/usability is presentation-layer only</t>
  </si>
  <si>
    <t>DEC-007</t>
  </si>
  <si>
    <t>NFR-1.3</t>
  </si>
  <si>
    <t>SCP-016, CON-008</t>
  </si>
  <si>
    <t>The system will operate with no runtime dependency on any campus system interface, including student records, HR and the asset register.</t>
  </si>
  <si>
    <t>AC-NFR-1.3 — Then all four journeys complete successfully.</t>
  </si>
  <si>
    <t>All modules — no campus-system integration adapter exists (SCP-016)</t>
  </si>
  <si>
    <t>No persistence consequence beyond isolation: no references to campus-system identifiers; users, categories and locations are held locally (SCP-016)</t>
  </si>
  <si>
    <t>NFR-1.4</t>
  </si>
  <si>
    <t>CON-003, CON-006, CON-007, CON-014, CON-015</t>
  </si>
  <si>
    <t>The system will write an immutable log entry for every authentication attempt, status transition and assignment action, and will retain those entries for a minimum of 90 days.</t>
  </si>
  <si>
    <t>AC-NFR-1.4 — Then all three entries are present and unaltered.</t>
  </si>
  <si>
    <t>Data store — Atlas trigger writes auditLog (scripts/atlas)</t>
  </si>
  <si>
    <t>auditLog, purpose B, ≥ 90 days (TTL 92 d), minimised content (M-1)</t>
  </si>
  <si>
    <t>Baselined - CR-002 pending</t>
  </si>
  <si>
    <t>NFR-1.5</t>
  </si>
  <si>
    <t>CON-003, CON-006</t>
  </si>
  <si>
    <t>The system will be recoverable to a state no more than 24 hours old following total loss of the primary data store.</t>
  </si>
  <si>
    <t>AC-NFR-1.5 — Then the system returns to service with all data recorded up to T.</t>
  </si>
  <si>
    <t>Physical tier 3 — Atlas cluster plus operated backup (scripts/backup, DEC-010)</t>
  </si>
  <si>
    <t>DEC-010 closed: mongodump every 12 h to an encrypted institutional server, 7-day retention, weekly restore into the test project with a consistency check. Free cluster: no --oplog, so the check reconciles cross-collection skew</t>
  </si>
  <si>
    <t>DEC-002 - MERN: MongoDB Atlas, Express, React, Node.js | DEC-010 open: cluster tier and backup mechanism undecided</t>
  </si>
  <si>
    <t>Baselined — verify under DEC-003</t>
  </si>
  <si>
    <t>DEC-010; NFR-1.5 measurement basis; RSK-020</t>
  </si>
  <si>
    <t>NFR-1.6</t>
  </si>
  <si>
    <t>CON-006, Master Brief s.17</t>
  </si>
  <si>
    <t>The system will expose a health endpoint that reports application and data store availability without requiring a user account.</t>
  </si>
  <si>
    <t>AC-NFR-1.6 — Then it returns the application status and the data store status.</t>
  </si>
  <si>
    <t>Health check issues a database ping only; reads no collection and no personal data</t>
  </si>
  <si>
    <t>DEC-002 - MERN: MongoDB Atlas, Express, React, Node.js | Express health endpoint</t>
  </si>
  <si>
    <t>NFR-2.1</t>
  </si>
  <si>
    <t>CON-010, STK-010, STK-001, CFL-001, CON-005</t>
  </si>
  <si>
    <t>The system will return the submission confirmation for a new service request within 3 seconds for 95% of submissions at a sustained load of 100 concurrent authenticated users.</t>
  </si>
  <si>
    <t>AC-NFR-2.1 — Then at least 95 confirmations are returned within 3 seconds, measured server-side.</t>
  </si>
  <si>
    <t>Requests module on a stateless tier-2 process (ASR-04)</t>
  </si>
  <si>
    <t>Submission = one txn of about 4 operations; within the free-cluster 100 ops/s ceiling at CON-010 load</t>
  </si>
  <si>
    <t>Baselined — CON-010 confirmed</t>
  </si>
  <si>
    <t>RSK-019</t>
  </si>
  <si>
    <t>NFR-2.2</t>
  </si>
  <si>
    <t>SCP-006, STK-004, CON-005, CON-010, CON-018</t>
  </si>
  <si>
    <t>The system will return a filtered or sorted staff request list within 2 seconds for 95% of queries against a data set of 10 000 requests.</t>
  </si>
  <si>
    <t>AC-NFR-2.2 — Then at least 95 return within 2 seconds.</t>
  </si>
  <si>
    <t>Data access — index-justified request-list queries</t>
  </si>
  <si>
    <t>All list queries index-backed (FR-4.4/4.5). 10 000 requests ≈ 44 MB, well inside 0.5 GB</t>
  </si>
  <si>
    <t>Baselined — assumption open (OI-10)</t>
  </si>
  <si>
    <t>OI-10; OI-10 (volume conflict; Atlas free-tier storage limit); OI-10 (storage half closed)</t>
  </si>
  <si>
    <t>NFR-2.3</t>
  </si>
  <si>
    <t>SCP-011, STK-005, CON-005</t>
  </si>
  <si>
    <t>The system will render the management view within 5 seconds for 95% of requests against 12 months of request data.</t>
  </si>
  <si>
    <t>AC-NFR-2.3 — Then at least 95 render within 5 seconds.</t>
  </si>
  <si>
    <t>Reporting — reportingCounts projection (DEC-011)</t>
  </si>
  <si>
    <t>12-month aggregation on {campusId, submittedAt, categoryId}; anonymised requests remain countable</t>
  </si>
  <si>
    <t>NFR-2.4</t>
  </si>
  <si>
    <t>CON-010, STK-010, CON-005, STK-005</t>
  </si>
  <si>
    <t>The system will sustain 100 concurrent authenticated users with no failed request and no unhandled server error.</t>
  </si>
  <si>
    <t>AC-NFR-2.4 — Then no request failed and no unhandled server error was recorded.</t>
  </si>
  <si>
    <t>Physical tier 2 — stateless application process</t>
  </si>
  <si>
    <t>~9 ops per transition vs 100 ops/s ceiling ≈ 11 transitions/s sustained. Driver pool ≤ 50 per process against the 500-connection limit</t>
  </si>
  <si>
    <t>RSK-019; DEC-010 upgrade trigger</t>
  </si>
  <si>
    <t>NFR-2.5</t>
  </si>
  <si>
    <t>STK-005, CON-003</t>
  </si>
  <si>
    <t>The system will be available for at least 99% of the campus operating window of 07:00 to 18:00 on weekdays, measured monthly.</t>
  </si>
  <si>
    <t>AC-NFR-2.5 — Then the result is at least 99%.</t>
  </si>
  <si>
    <t>Physical tier 2 — single application instance (RSK-017)</t>
  </si>
  <si>
    <t>Free cluster: 3-node replica set (node failure = election), but no SLA. App-host SPOF per DEC-003</t>
  </si>
  <si>
    <t>Baselined — assumption open (OI-04)</t>
  </si>
  <si>
    <t>OI-04; DEC-003</t>
  </si>
  <si>
    <t>NFR-3.1</t>
  </si>
  <si>
    <t>CON-006</t>
  </si>
  <si>
    <t>The system will store user authentication credentials only as salted, computationally slow one-way hashes, and will hold no reversible representation of a password.</t>
  </si>
  <si>
    <t>AC-NFR-3.1 — Then the password appears only as a salted hash from a recognised slow hashing function and the plaintext appears nowhere.</t>
  </si>
  <si>
    <t>Identity &amp; Access — credential hashing (planned)</t>
  </si>
  <si>
    <t>users.passwordHash (select:false) holds an argon2id/bcrypt encoded hash only; no reversible credential field exists</t>
  </si>
  <si>
    <t>NFR-3.2</t>
  </si>
  <si>
    <t>CON-006, CON-007</t>
  </si>
  <si>
    <t>The system will transmit all client-server traffic over TLS version 1.2 or higher and will refuse unencrypted connections.</t>
  </si>
  <si>
    <t>AC-NFR-3.2 — Then the connection is refused or redirected to TLS 1.2 or higher.</t>
  </si>
  <si>
    <t>Tier boundaries — TLS at Nginx (tier 1→2) and driver TLS (tier 2→3)</t>
  </si>
  <si>
    <t>No application-level persistence consequence. Atlas enforces TLS on every driver connection; free clusters have no private endpoint, so DB traffic crosses the internet under TLS (residual, DEC-003)</t>
  </si>
  <si>
    <t>DEC-002 - MERN: MongoDB Atlas, Express, React, Node.js | DEC-003 - TLS terminated at the application host</t>
  </si>
  <si>
    <t>DEC-003</t>
  </si>
  <si>
    <t>NFR-3.3</t>
  </si>
  <si>
    <t>CON-019, STK-010, DEC-004, CON-006, CFL-002, CON-012</t>
  </si>
  <si>
    <t>The system will enforce every authorisation rule at the server on each request, at every entry point including endpoints not reachable through the user interface, and will not treat the absence of a user interface control as an access restriction.</t>
  </si>
  <si>
    <t>AC-NFR-3.3 — Then the server refuses the operation.</t>
  </si>
  <si>
    <t>Identity &amp; Access — route guard src/middleware/authorise.js (presentation) + access rule set src/domain/accessRules.js (application), DEC-012; route-table test tests/authorisationGuard.test.js</t>
  </si>
  <si>
    <t>Storage-level counterpart to the guard: app DB user civicconnect-app cannot update/delete requestHistory or auditLog</t>
  </si>
  <si>
    <t>DEC-015: the finite endpoint table is the "every entry point" checklist [further design entries pending - criterion E]</t>
  </si>
  <si>
    <t>DEC-004; CFL-002; RSK-005; RSK-009; condition C-01; DEC-012, DEC-015</t>
  </si>
  <si>
    <t>NFR-3.4</t>
  </si>
  <si>
    <t>The system will terminate an authenticated session after 30 minutes without user activity and will require re-authentication.</t>
  </si>
  <si>
    <t>AC-NFR-3.4 — Then the system requires re-authentication before proceeding.</t>
  </si>
  <si>
    <t>NFR-3.5</t>
  </si>
  <si>
    <t>CON-006, Master Brief s.9</t>
  </si>
  <si>
    <t>The system will hold no password, API key, token or connection secret at any commit in the source repository.</t>
  </si>
  <si>
    <t>AC-NFR-3.5 — Then no password, API key, token or connection secret is reported.</t>
  </si>
  <si>
    <t>Repository — environment configuration outside the repo; CI secret scan (#52)</t>
  </si>
  <si>
    <t>Connection URIs only in /etc/civicconnect/*.env and CI secrets; scripts/atlas/ config in the repo contains no credentials</t>
  </si>
  <si>
    <t>DEC-002 - MERN: MongoDB Atlas, Express, React, Node.js | Secrets held as environment configuration, not in the repository</t>
  </si>
  <si>
    <t>NFR-3.6</t>
  </si>
  <si>
    <t>CON-007, SCP-008, STK-009</t>
  </si>
  <si>
    <t>The system will make the acting user, action and timestamp of every status transition and assignment retrievable for audit by an authorised user.</t>
  </si>
  <si>
    <t>AC-NFR-3.6 — Then the acting user, action and timestamp of each are returned.</t>
  </si>
  <si>
    <t>Lifecycle &amp; Work Record — history read; auditLog in the data store</t>
  </si>
  <si>
    <t>Within retention: hist.actorId/actorRole/occurredAt. Beyond it: auditLog (index {requestId, occurredAt}) for 90 days</t>
  </si>
  <si>
    <t>NFR-1.7</t>
  </si>
  <si>
    <t>CON-012, STK-010, CON-005</t>
  </si>
  <si>
    <t>The system will implement a layered architecture in which presentation components do not reference data-access components directly, and every dependency crosses exactly one layer boundary in one direction.</t>
  </si>
  <si>
    <t>AC-NFR-1.7 — Then no presentation component references a data-access component, and every inter-layer dependency crosses exactly one boundary in one direction.</t>
  </si>
  <si>
    <t>ASR-05 maintainability</t>
  </si>
  <si>
    <t>All layers — closed single-boundary dependency rule (§6A.5); automated check planned in CI</t>
  </si>
  <si>
    <t>Repositories are the only data-access layer; routes and middleware never import models (asserted in review, to be linted in C's CI)</t>
  </si>
  <si>
    <t>NFR-1.8</t>
  </si>
  <si>
    <t>CON-016, CON-006, CON-007, STK-010</t>
  </si>
  <si>
    <t>The system will maintain separate database schemas for development, test, staging and production, with no shared data between them, and will apply every schema change through a scripted repeatable migration rather than manual alteration.</t>
  </si>
  <si>
    <t>AC-NFR-1.8 — Then each holds a separate schema, no environment reads another's data, and every schema change is traceable to a migration script rather than a manual alteration.</t>
  </si>
  <si>
    <t>Physical tier 3 — database per environment; configuration loading (data access)</t>
  </si>
  <si>
    <t>Schema migration artefact; separate schema per environment (NFR-1.8)</t>
  </si>
  <si>
    <t>DEC-002 - MERN: MongoDB Atlas, Express, React, Node.js | DEC-003 - Hostinger environments; Atlas database per environment</t>
  </si>
  <si>
    <t>NFR-1.9</t>
  </si>
  <si>
    <t>CON-015, CON-006, SCP-008, STK-010</t>
  </si>
  <si>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</si>
  <si>
    <t>AC-NFR-1.9 — Then a trigger-written audit row exists for that modification, and the migration script that created the trigger is present and ordered in the repository.</t>
  </si>
  <si>
    <t>Data access — versioned migration scripts; data store — Atlas triggers</t>
  </si>
  <si>
    <t>Database-level audit via Atlas managed triggers (DEC-002); trigger definition held in scripts/atlas/app/triggers/, full_document:false, unattributed writes flagged (actorSource:'unattributed')</t>
  </si>
  <si>
    <t>DEC-002 - MERN: MongoDB Atlas, Express, React, Node.js | Atlas managed database triggers satisfy the CON-015 mechanism</t>
  </si>
  <si>
    <t>CON-015; DEC-002; DEC-016; DEC-017; RSK-018</t>
  </si>
  <si>
    <t>NFR-1.10</t>
  </si>
  <si>
    <t>CON-017, SCP-007, SCP-008, STK-010</t>
  </si>
  <si>
    <t>The system will execute every operation that writes to more than one table inside a single transaction, such that a failure at any point commits no partial change.</t>
  </si>
  <si>
    <t>AC-NFR-1.10 — Then no partial change is committed and all three tables remain in their pre-transition state.</t>
  </si>
  <si>
    <t>Application layer — unit of work src/infrastructure/unitOfWork.js (DEC-016)</t>
  </si>
  <si>
    <t>Txn encloses req + hist (+ counters); auditLog eventually consistent (≤ 60 s) via trigger; notifications/counts after commit</t>
  </si>
  <si>
    <t>DEC-002 - MERN: MongoDB Atlas, Express, React, Node.js | Atlas replica set required for multi-document transactions</t>
  </si>
  <si>
    <t>DEC-016; CR-001; RSK-018</t>
  </si>
  <si>
    <t>NFR-1.11</t>
  </si>
  <si>
    <t>CON-014, CON-005, CON-007, STK-010</t>
  </si>
  <si>
    <t>The system will emit a structured performance log entry for every request-handling operation, recording the operation, its duration in milliseconds and its outcome, and containing no personal information.</t>
  </si>
  <si>
    <t>AC-NFR-1.11 — Then each operation has one structured entry recording operation, duration in milliseconds and outcome, and no entry contains a name, e-mail address, student number or free-text description.</t>
  </si>
  <si>
    <t>Data access layer — performance logger excluding personal information (planned)</t>
  </si>
  <si>
    <t>Not stored in MongoDB: structured JSON to journald, 30-day rotation, no personal information (purpose D)</t>
  </si>
  <si>
    <t>OI-06; DEC-017</t>
  </si>
  <si>
    <t>CON-018, CON-010, STK-010</t>
  </si>
  <si>
    <t>The system will maintain a documented indexing strategy in which every index is justified against a named query arising from FR-4.3, FR-4.4, FR-4.5 or FR-8.1 to FR-8.5, and no index exists without such a justification.</t>
  </si>
  <si>
    <t>AC-NFR-2.6 — Then each index is justified against a named query from FR-4.3, FR-4.4, FR-4.5 or FR-8.1 to FR-8.5, and no unjustified index is present.</t>
  </si>
  <si>
    <t>Data access — index definitions in the models (data baseline)</t>
  </si>
  <si>
    <t>Indexing strategy; every index justified against a named query (NFR-2.6); CR-004 pending (integrity indexes and FR-3.x queries)</t>
  </si>
  <si>
    <t>CR-004</t>
  </si>
  <si>
    <t>NFR-2.7</t>
  </si>
  <si>
    <t>CON-010, STK-010, CON-018</t>
  </si>
  <si>
    <t>The system will hold no user session state in application process memory and will perform no unindexed full-table scan on any request-list or reporting query, so that capacity can be raised toward 1 000 users without redesign.</t>
  </si>
  <si>
    <t>AC-NFR-2.7 — Then no user session state is held in process memory and no query plan contains a full-table scan on the request or audit tables.</t>
  </si>
  <si>
    <t>Physical tier 2 — no in-process session state; sessions in MongoDB (DEC-003)</t>
  </si>
  <si>
    <t>Indexing strategy; every index justified against a named query (NFR-2.6)</t>
  </si>
  <si>
    <t>DEC-002 - MERN: MongoDB Atlas, Express, React, Node.js | Session state held outside the application process</t>
  </si>
  <si>
    <t>NFR-3.7</t>
  </si>
  <si>
    <t>CON-019, CON-007, STK-010</t>
  </si>
  <si>
    <t>The system will encrypt personal information at rest using a current recognised algorithm, in addition to the transport encryption required by NFR-3.2.</t>
  </si>
  <si>
    <t>AC-NFR-3.7 — Then the personal information is not readable as plaintext.</t>
  </si>
  <si>
    <t>Physical tier 3 — Atlas encryption at rest (evidence item open)</t>
  </si>
  <si>
    <t>Encryption at rest for personal information (NFR-3.7); Atlas at-rest volume encryption - sufficiency against CON-019 is an open evidence item (DEC-003)</t>
  </si>
  <si>
    <t>NFR-4.1</t>
  </si>
  <si>
    <t>CON-007, STK-009, CFL-004</t>
  </si>
  <si>
    <t>The system will capture only the personal information necessary to submit, assign, resolve and report on a service request.</t>
  </si>
  <si>
    <t>AC-NFR-4.1 — Then every field maps to at least one of those purposes and no field maps to none.</t>
  </si>
  <si>
    <t>Requests — Request model captures only FR-2.2 fields plus submitter</t>
  </si>
  <si>
    <t>Field inventory: every personal field is enumerated in REQUEST_PERSONAL_FIELDS / HISTORY_PERSONAL_FIELDS and mapped to a purpose in DEC-017. title removed (no purpose)</t>
  </si>
  <si>
    <t>CFL-004; DEC-017</t>
  </si>
  <si>
    <t>NFR-4.2</t>
  </si>
  <si>
    <t>CFL-004, DEC-005, CON-007</t>
  </si>
  <si>
    <t>The system will retain identifiable request data for no longer than one month from closure of the request, and will retain aggregated non-identifying statistics beyond that period.</t>
  </si>
  <si>
    <t>AC-NFR-4.2 - Then that data is no longer present and the corresponding aggregated non-identifying statistics remain available.</t>
  </si>
  <si>
    <t>Requests — PROC-001 anonymisation (scripts/retention); Reporting keeps non-identifying counts</t>
  </si>
  <si>
    <t>PROC-001 twice monthly, eligibility ≥ 14 days after closure.closedAt, so every request is anonymised within 14–30 days; nulls the listed fields, preserves aggregates</t>
  </si>
  <si>
    <t>DEC-002 - MERN: MongoDB Atlas, Express, React, Node.js | DEC-005 - one-month retention</t>
  </si>
  <si>
    <t>Baselined - assumption open (OI-12)</t>
  </si>
  <si>
    <t>DEC-005; CFL-004; RSK-002; OI-12; DEC-017; PROC-001; CR-002</t>
  </si>
  <si>
    <t>NFR-4.3</t>
  </si>
  <si>
    <t>CON-007, STK-009</t>
  </si>
  <si>
    <t>The system will present, at the point of submission, a notice stating what personal information is collected, the purpose of collection and who may access it.</t>
  </si>
  <si>
    <t>AC-NFR-4.3 — Then a notice stating what personal information is collected, why, and who may access it is displayed before the requester can submit.</t>
  </si>
  <si>
    <t>Presentation — submission notice</t>
  </si>
  <si>
    <t>No persistence consequence. The notice is presentation content; no consent record is required for this purpose</t>
  </si>
  <si>
    <t>NFR-4.4</t>
  </si>
  <si>
    <t>STK-006, CFL-002, CON-007</t>
  </si>
  <si>
    <t>The system will restrict access to security-category request detail to users holding the Security Officer role, in accordance with the confidentiality expectation recorded in CFL-002.</t>
  </si>
  <si>
    <t>AC-NFR-4.4 — Then no description, comment or action content is returned.</t>
  </si>
  <si>
    <t>As FR-1.5: securityCategory snapshot + serialiser field filtering</t>
  </si>
  <si>
    <t>CFL-002; RSK-005; RSK-009; condition C-01; CFL-002, C-01</t>
  </si>
  <si>
    <t>NFR-4.5</t>
  </si>
  <si>
    <t>STK-009, CON-007</t>
  </si>
  <si>
    <t>The system will allow the Information Officer to retrieve a record of which users accessed a given request's personal information.</t>
  </si>
  <si>
    <t>AC-NFR-4.5 — Then both accesses are listed with the user, date and time.</t>
  </si>
  <si>
    <t>ASR-03 personal-information protection; ASR-02 lifecycle integrity and audit</t>
  </si>
  <si>
    <t>Identity &amp; Access — personal-information access log (planned)</t>
  </si>
  <si>
    <t>App-written auditLog entries origin:'access', eventType:'access.read' when personal detail is served; 90 days</t>
  </si>
  <si>
    <t>DEC-017; RSK-019 (each read adds a write)</t>
  </si>
  <si>
    <t>Column</t>
  </si>
  <si>
    <t>Populated</t>
  </si>
  <si>
    <t>Outstanding</t>
  </si>
  <si>
    <t>Owner of the outstanding work</t>
  </si>
  <si>
    <t>Complete at v0.6 (Christiaan) — 58 rows linked to ASR-01–06; 16 marked 'No architectural driver'; 5 'Screened out' per PED §6A.3.2</t>
  </si>
  <si>
    <t>Complete</t>
  </si>
  <si>
    <t>Partially implemented — role evaluated before the handler on every registered route (requireOperation(), src/middleware/authorise.js; OPERATION_RULES in src/domain/accessRules.js); the transition route is currently the only one. Recording of the rejected attempt (AC-FR-1.3) is not built</t>
  </si>
  <si>
    <t>Partially implemented — append-only at layers 1 and 2: historyRepository exposes append and read only; RequestHistory schema middleware refuses update, delete and bulkWrite (DB-01). Layer 3 (Atlas role), the only layer that stops native-driver writes, is M3. PROC-001 exception pending CR-003 (OI-13)</t>
  </si>
  <si>
    <t>Partially implemented (component level; not reachable over HTTP — see RTM header note) — Enforcement point 1: requireOperation() (src/middleware/authorise.js) is one composed guard evaluating OPERATION_RULES from src/domain/accessRules.js, the single rule set (DEC-012), on the only registered route, POST /api/v1/requests/{id}/transitions. It fails closed: no actor → 401; an identity supplied in a request header → 403; an operation with no documented rule cannot be guarded. Enforcement point 2: mayActOnRequest() in the transition service; its security-category rule is the OI-15 inference, not a requirement. Enforcement point 3 (response serialiser) not built: blocked on CFL-002 (C-01, RSK-009).</t>
  </si>
  <si>
    <t>Tested (points 1 and 2) — tests/authorisationGuard.test.js walks the request router's route table and fails if any route not listed as public (none are) lacks the guard; negative verification in docs/evidence/R-01_negative_verification.txt (an unguarded route was added and the assertion failed). Further guard tests cover refusal before the handler, the unauthenticated case, client-supplied identity and undocumented operations. Point 2: tests/statusTransitionService.test.js (category authorisation, security category). npm test 80/80 on 30/09/2026. Limits: the assertion covers src/routes/requestRoutes.js only, so each new router must be added to it; point 3 is untested; adversarial testing against a deployed server (CON-019) is M3</t>
  </si>
  <si>
    <t>DEC-015: 401 problem response, no request data in body. DEC-018: local email and password (§1); server-side session identified by the __Host-sid cookie (§3); 401 decided only by the route guard, the session middleware only resolves the actor (§4); POST /api/v1/sessions and DELETE /api/v1/sessions/current (§5) [authentication prompt (client) pending - criterion E]</t>
  </si>
  <si>
    <t>Partially implemented — API half of AC-FR-1.1: the session middleware (src/middleware/session.js) resolves the actor from __Host-sid through authService.resolve(); the route guard returns 401 with no request data when there is none; login and logout at /api/v1/sessions (DEC-018). The authentication prompt is not built (no user interface in M3 Phase 0). users.email unique index is defined in src/models/User.js; its presence on the cluster is not verified</t>
  </si>
  <si>
    <t>Tested — tests/app.test.js 'a transition with no session is 401 problem details, and the service is not reached — AC-FR-1.1 (API half)', tests/authorisationGuard.test.js whole-application guard assertion (npm test 132/132 on 11/10/2026); negative verification NV-01, NV-14, NV-16 (docs/evidence/M3-P0/). Over HTTP against the Atlas test cluster: SMOKE-01 checks 2, 3 and 6 (docs/evidence/M3-P0/SMOKE-01_phase0_reachability.txt). The authentication prompt is not verified</t>
  </si>
  <si>
    <t>DEC-015; DEC-018; RSK-021</t>
  </si>
  <si>
    <t>Identity &amp; Access — revocation enforced by session resolution, authService.resolve() (application) against users.status and users.sessionEpoch via userRepository (data access); user administration service (application) not yet built; first Administrator created by scripts/admin/create-user.js (operations script)</t>
  </si>
  <si>
    <t>DEC-018 §3: revocation through users.sessionEpoch stored on each session and users.status, checked on every request, so revocation terminates existing sessions at their next request; §7: first Administrator created by an operations script, no HTTP bootstrap [Administrator create, amend and revoke interface pending - criterion E]</t>
  </si>
  <si>
    <t>Partially implemented — the termination half of AC-FR-1.4: authService.resolve() refuses a session whose user is not active or whose sessionEpoch differs from the user's, and login refuses a non-active account with the same failure as a wrong password (DEC-018). The Administrator functions (create an account, amend role assignments, revoke access) are not built; the first Administrator is created only by scripts/admin/create-user.js</t>
  </si>
  <si>
    <t>Tested — tests/authService.test.js 'revocation terminates existing sessions through the epoch', 'a revoked user is refused even with a matching epoch'; tests/app.test.js 'revocation ends an open session at its next request' (npm test 132/132 on 11/10/2026); negative verification NV-03. Revocation is not exercised against the cluster (SMOKE-01 does not cover it), and the Administrator functions are not verified</t>
  </si>
  <si>
    <t>DEC-018</t>
  </si>
  <si>
    <t>DEC-018 §6: authentication attempts and logout written to auditLog with origin 'auth' through the insert-only auditRepository.recordSecurityEvent(), minimised under M-1 (DEC-017), the email never recorded [further design entries pending - criterion E]</t>
  </si>
  <si>
    <t>Partially implemented — authentication attempts only: the auth service writes auth.login.success, auth.login.failure and auth.logout to auditLog, minimised (no email, M-1), and creates no session if the success event cannot be written. Status-transition and assignment entries depend on the Atlas trigger (scripts/atlas), which is not evidenced as deployed. Retention: the 92-day TTL index is defined in src/models/AuditLog.js; TTL index defined is not retention observed</t>
  </si>
  <si>
    <t>Tested — tests/authService.test.js 'every login attempt is audited, minimised, and the email is never recorded', 'if the success event cannot be recorded, no session is created' (npm test 132/132 on 11/10/2026); negative verification NV-11, NV-12, NV-13. Indirect, on the cluster: SMOKE-01 check 3 committed a session, which the code allows only after the auth.login.success insert succeeded; the auditLog entry was not read back. Not verified: transition and assignment entries, immutability of auditLog (find+insert grant), the presence of any index on the cluster, or 90-day retention</t>
  </si>
  <si>
    <t>OI-06; escalated at v0.3 - 90-day retention against the one-month rule; DEC-017; CR-002; DEC-018</t>
  </si>
  <si>
    <t>Presentation — health route src/routes/healthRoutes.js (public, in PUBLIC_ROUTES) → healthService (application) → database ping, src/infrastructure/database.js (infrastructure)</t>
  </si>
  <si>
    <t>DEC-015: GET /api/v1/health (public, in PUBLIC_ROUTES); 503 on DB failure. DEC-018 §5: public by NFR-1.6; database ping only, no collection read and no personal data; 200 or 503</t>
  </si>
  <si>
    <t>Implemented — GET /api/v1/health (src/routes/healthRoutes.js, src/services/healthService.js), in PUBLIC_ROUTES with its reason; reports application and data store status; the database check is a ping bounded at 3 s and reads no collection; 503 when the database is down (DEC-015)</t>
  </si>
  <si>
    <t>Tested — tests/app.test.js 'health answers without a session, and reports both statuses', 'health reports a database outage as 503' (npm test 132/132 on 11/10/2026); negative verification NV-17. Against the Atlas test cluster: SMOKE-01 check 1, 200 {"application":"up","database":"up"}. The 503 path is verified with the ping substituted, not against a real outage</t>
  </si>
  <si>
    <t>DEC-015; DEC-018</t>
  </si>
  <si>
    <t>Identity &amp; Access — session middleware src/middleware/session.js (presentation) → authService.resolve() idle check (application) → sessionRepository (data access); 401 from the route guard src/middleware/authorise.js</t>
  </si>
  <si>
    <t>Sessions in the sessions collection (DB-01 v0.3 §3.9); expiry enforced by the application against lastSeenAt; the TTL index removes documents afterwards</t>
  </si>
  <si>
    <t>DEC-018 §3: idle expiry checked in the application against lastSeenAt, refreshed at most once per 60 s; a session is refused 29–30 minutes after the last request and is never valid after 30 (tolerance stated identically in DB-01 v0.3 §3.9); no absolute lifetime; §4: 401 decided by the route guard</t>
  </si>
  <si>
    <t>Implemented — authService.resolve() refuses a session once 30 minutes have passed since lastSeenAt, which is refreshed at most once per 60 s, so expiry falls 29–30 minutes after the last request and never later (DEC-018 §3, DB-01 v0.3 §3.9). The guard then returns 401, so re-authentication is required. The sessions TTL index (src/models/Session.js) only removes expired documents afterwards and is not the enforcement</t>
  </si>
  <si>
    <t>Tested — tests/authService.test.js 'idle boundary: 29:59 since lastSeenAt is accepted, 30:00 is refused', 'lastSeenAt is not refreshed within 60 s, and is refreshed at 60 s', "user's view: a session is never valid 30:00 after the last request, even with a stale lastSeenAt" (npm test 132/132 on 11/10/2026), with an injected clock; negative verification NV-04, NV-05, NV-06. Idle expiry is not observed against the cluster (SMOKE-01 does not cover it), and the presence of the sessions TTL index on the cluster is not verified</t>
  </si>
  <si>
    <t>Column completeness at v0.9</t>
  </si>
  <si>
    <t>Complete at v0.6 (Christiaan) — module from PED §6A.6, layer/component from §6A.5 and the application slice. v0.9 (Ethan): FR-1.4, NFR-1.6 and NFR-3.4 updated from "(planned)" to the composed application; Christiaan notified</t>
  </si>
  <si>
    <t>Complete at v0.5 (Robert) - 4 rows explicit 'no persistence consequence'. v0.9 (Ethan): NFR-3.4 corrected to DB-01 v0.3 §3.9 (expiry enforced by the application, not the TTL index); Robert notified</t>
  </si>
  <si>
    <t>Ethan and Robert - criterion E. v0.5: DEC-015/016/017 entries added on 18 rows; DEC-011/012 entries still pending. v0.9 (Ethan): counting rule stated. Up to v0.8, every row carrying a pending marker ("[further design entries pending - criterion E]" or "Pending - initial design decisions") was counted as not populated, even where it already cited a decision, which is why Populated stood at 0. From v0.9 the marker means the row's design is genuinely incomplete, and a row is counted as populated when its cited decisions fully specify it and it carries no marker. DEC-018 entries were added on FR-1.1, FR-1.4, NFR-1.4, NFR-1.6 and NFR-3.4. NFR-1.6 and NFR-3.4 are fully specified by DEC-015 and DEC-018 and no longer carry the marker, so Populated moves from 0 to 2. FR-1.1, FR-1.4 and NFR-1.4 keep the marker for the design they still lack. The other rows carrying the marker were not re-assessed in v0.9</t>
  </si>
  <si>
    <t>v0.7 (Robert): 11 rows populated from the application slice after PR #63. v0.8 (Ethan): NFR-3.3 added; FR-1.3 and FR-6.7 corrected to partial. v0.9 (Ethan): FR-1.1, FR-1.4, NFR-1.4, NFR-1.6 and NFR-3.4 added after PR #83. 17 rows populated (8 implemented, 9 partial). Remaining 62: all three members, criterion F, as code is written</t>
  </si>
  <si>
    <t>v0.7 (Robert): 11 rows with automated test evidence (npm test 80/80). v0.8 (Ethan): NFR-3.3 added; 12 rows. v0.9 (Ethan): FR-1.1, FR-1.4, NFR-1.4, NFR-1.6 and NFR-3.4 added (npm test 132/132; SMOKE-01 against the Atlas test cluster for reachability); 17 rows. Remaining 62 and live-cluster verification beyond reachability: M3</t>
  </si>
  <si>
    <t>Percentage Complete</t>
  </si>
  <si>
    <t>Overall column completeness (all seven columns)</t>
  </si>
  <si>
    <t>Test case(s) (M3)</t>
  </si>
  <si>
    <t>Expected result (derived from the AC, before execution)</t>
  </si>
  <si>
    <t>Execution evidence (M3)</t>
  </si>
  <si>
    <t>Defect / M3 status</t>
  </si>
  <si>
    <t>app.test.js 'a transition with no session is 401 problem details, and the service is not reached — AC-FR-1.1 (API half)'; E2E-1 step 1 (signed out, nothing disclosed); smoke check 2 on staging</t>
  </si>
  <si>
    <t>From AC-FR-1.1: no request data without authentication; the API answers 401 UNAUTHENTICATED and the client shows the sign-in prompt</t>
  </si>
  <si>
    <t>CI run 38737312900 (PR #106; tree identical to v3.0-M3-rc; Node 22.23.3): 199 tests, 191 pass, 0 fail, 8 skipped; docs/evidence/M3-e2e/E2E_local_run_v3.0-M3-rc_2026-10-15_run2.txt (at v3.0-M3-rc: E2E-1 pass, E2E-2a pass, E2E-2b expected failure); smoke check 2 on staging, 401 (docs/evidence/M3_Staging_Deploy_v3.0-M3-rc.md, section 9)</t>
  </si>
  <si>
    <t>Partial: the API half and the sign-in prompt on the request detail address are shown; no request list exists. No open defect</t>
  </si>
  <si>
    <t>Not in M3 scope: no M3 implementation or verification evidence (Implementation evidence: Planned / Not Yet Implemented)</t>
  </si>
  <si>
    <t>n/a</t>
  </si>
  <si>
    <t>authorisationGuard.test.js 'the guard refuses before the handler runs — DEC-012 path A' (UT-2); app.test.js 'a role without the operation is 403, decided by the guard — FR-1.3, NFR-3.3'; integration 'a role not permitted for the transition is refused with 403'; E2E-2a, E2E-2b</t>
  </si>
  <si>
    <t>From AC-FR-1.3: the operation is rejected, no change is made, and the rejected attempt is recorded</t>
  </si>
  <si>
    <t>CI run 38737312900 (PR #106; tree identical to v3.0-M3-rc; Node 22.23.3): 199 tests, 191 pass, 0 fail, 8 skipped; NV-92 (docs/quality/M3_Test_Evidence_Records_v0.1.md, UT-2); docs/evidence/M3_API_Test_Run.txt (test cluster, 12/10/2026); docs/evidence/M3-e2e/E2E_local_run_v3.0-M3-rc_2026-10-15_run2.txt (at v3.0-M3-rc: E2E-1 pass, E2E-2a pass, E2E-2b expected failure)</t>
  </si>
  <si>
    <t>Partial: rejection and no change are shown; the rejected attempt is not recorded (TD-005). A wrong-role transition answers 422, not DEC-015's 403 (DEF-011; E2E-2b expected failure)</t>
  </si>
  <si>
    <t>authService.test.js 'revocation terminates existing sessions through the epoch — FR-1.4, AC-FR-1.4'; app.test.js 'revocation ends an open session at its next request — AC-FR-1.4'</t>
  </si>
  <si>
    <t>From AC-FR-1.4: a revoked account cannot authenticate and its existing sessions end</t>
  </si>
  <si>
    <t>CI run 38737312900 (PR #106; tree identical to v3.0-M3-rc; Node 22.23.3): 199 tests, 191 pass, 0 fail, 8 skipped</t>
  </si>
  <si>
    <t>Partial: revocation is enforced; the Administrator function that revokes (FR-1.4 administration) is not built. No open defect</t>
  </si>
  <si>
    <t>requestRead.test.js 'service: non-Security-Officer staff on a security request get AuthorisationError — FR-1.5' (UT-4); authorisationGuard.test.js TD-002 constraint tests (act, view); BB-4 and BB-5 decision tables</t>
  </si>
  <si>
    <t>From FR-1.5 and AC-FR-1.5: description, comment history and action history are absent for a user without the Security Officer role</t>
  </si>
  <si>
    <t>CI run 38737312900 (PR #106; tree identical to v3.0-M3-rc; Node 22.23.3): 199 tests, 191 pass, 0 fail, 8 skipped; NV-32, NV-23, NV-24 (docs/quality/M3_Test_Evidence_Records_v0.1.md, UT-4, BB-4, BB-5)</t>
  </si>
  <si>
    <t>Partial: the whole request is refused, which is wider than FR-1.5 (OI-17); field-level filtering (DEC-012 point 3) is not built (CFL-002, OI-16)</t>
  </si>
  <si>
    <t>models.test.js 'each of the three FR-2.2 mandatory fields is required'; 'a request with only category, location and description as business input is valid — FR-2.2'</t>
  </si>
  <si>
    <t>From FR-2.2: category, location and description are required and no other field is</t>
  </si>
  <si>
    <t>Partial: model level only; request submission is not built in M3. No open defect</t>
  </si>
  <si>
    <t>Index provisioning runs (test and staging clusters); S1 duplicate-reference check (test cluster)</t>
  </si>
  <si>
    <t>From FR-2.6: a reference is unique across all requests (requests.reference_1 unique index present; a duplicate refused with 11000)</t>
  </si>
  <si>
    <t>docs/evidence/M3-indexes/index_provisioning_test_run1.txt, index_provisioning_staging_run1.txt (RESULT PASS 21 of 21); index_duplicate_refusal_test_2026-10-14.txt, S1</t>
  </si>
  <si>
    <t>Partial: the uniqueness guarantee exists on the test and staging clusters; submission, and so allocation and display of the reference, is not built (TD-004 repaid)</t>
  </si>
  <si>
    <t>requestRead.test.js 'service: status is visibleStatusFor output for a requester on a security request — FR-3.5'; 'a requester viewing their own security request sees the mapped status — FR-3.5, DEC-012 point 3'</t>
  </si>
  <si>
    <t>From AC-FR-3.5: a requester sees only Received, In Progress or Closed on a security-category request</t>
  </si>
  <si>
    <t>CI run 38737312900 (PR #106; tree identical to v3.0-M3-rc; Node 22.23.3): 199 tests, 191 pass, 0 fail, 8 skipped; NV-28</t>
  </si>
  <si>
    <t>Partial: the read response maps the status; requester notifications are not built. No open defect</t>
  </si>
  <si>
    <t>requestRead.test.js 'service: a requester asking for another requester's request gets NotFoundError'; 'another user's request is indistinguishable from a missing id'; BB-5 column 7</t>
  </si>
  <si>
    <t>From AC-FR-3.6: the request is refused and no data from it is returned</t>
  </si>
  <si>
    <t>CI run 38737312900 (PR #106; tree identical to v3.0-M3-rc; Node 22.23.3): 199 tests, 191 pass, 0 fail, 8 skipped; NV-32 (docs/quality/M3_Test_Evidence_Records_v0.1.md, BB-5)</t>
  </si>
  <si>
    <t>Implemented for the read endpoint (GET /api/v1/requests/{id}); no list exists. No open defect</t>
  </si>
  <si>
    <t>requestRead.test.js 'staff not authorised for the category get 403 with no request data'; 'a Coordinator authorised for the category gets 200'; BB-5 columns 1, 2, 5</t>
  </si>
  <si>
    <t>From FR-4.1: a staff user sees the requests their role and category authorisation permit, and no others</t>
  </si>
  <si>
    <t>CI run 38737312900 (PR #106; tree identical to v3.0-M3-rc; Node 22.23.3): 199 tests, 191 pass, 0 fail, 8 skipped; NV-32, NV-44 (docs/quality/M3_Test_Evidence_Records_v0.1.md, BB-5)</t>
  </si>
  <si>
    <t>Partial: enforced on the single-request read; the request list is not built. BB-5 column 5 (Security Officer without category authorisation) not covered</t>
  </si>
  <si>
    <t>requestRead.test.js 'GET 200 body has exactly the three keys and ETag "v&lt;version&gt;" — DEC-015 §1'; E2E-1 step 2</t>
  </si>
  <si>
    <t>From DEC-015 §1 (FR-4.2 is Proposed, OI-01): the read returns reference, status and version</t>
  </si>
  <si>
    <t>CI run 38737312900 (PR #106; tree identical to v3.0-M3-rc; Node 22.23.3): 199 tests, 191 pass, 0 fail, 8 skipped; docs/evidence/M3-e2e/E2E_local_run_v3.0-M3-rc_2026-10-15_run2.txt (at v3.0-M3-rc: E2E-1 pass, E2E-2a pass, E2E-2b expected failure)</t>
  </si>
  <si>
    <t>Provisional (OI-01): three fields only, not AC-FR-4.2's full detail. No open defect</t>
  </si>
  <si>
    <t>requestStatus.test.js 'the status set is exactly the seven values FR-6.1 baselines'; models.test.js 'a status outside FR-6.1 is rejected by the model'; 'an unknown status is refused rather than permitted by default' (BB-3)</t>
  </si>
  <si>
    <t>From AC-FR-6.1: exactly Received, Assigned, In Progress, On Hold, Resolved, Closed and Rejected</t>
  </si>
  <si>
    <t>CI run 38737312900 (PR #106; tree identical to v3.0-M3-rc; Node 22.23.3): 199 tests, 191 pass, 0 fail, 8 skipped; NV-98 (docs/quality/M3_Test_Evidence_Records_v0.1.md, BB-3)</t>
  </si>
  <si>
    <t>Implemented. BB-3 partial: a move to an unknown status is not asserted. No open defect</t>
  </si>
  <si>
    <t>statusTransitionService.test.js 'an illegal transition is refused and nothing is written — FR-6.2' (UT-5); requestStatus.test.js 'a move that skips a status is refused — FR-6.2'</t>
  </si>
  <si>
    <t>From AC-FR-6.2: a transition outside the model is refused and the status is unchanged</t>
  </si>
  <si>
    <t>CI run 38737312900 (PR #106; tree identical to v3.0-M3-rc; Node 22.23.3): 199 tests, 191 pass, 0 fail, 8 skipped; NV-94 (docs/quality/M3_Test_Evidence_Records_v0.1.md, UT-5)</t>
  </si>
  <si>
    <t>Implemented. The model's edges and roles are a team proposal (OI-15), so the tests show the code enforces its own table. No open defect</t>
  </si>
  <si>
    <t>statusTransitionService.test.js 'both writes happen inside the unit of work, with its session — DEC-016, FR-6.3' (UT-1); 'the entry records the acting user, both statuses and the version it produced'; E2E-1 step 4; smoke check 4</t>
  </si>
  <si>
    <t>From AC-FR-6.3: the history entry records the acting user, previous status, new status, date and time</t>
  </si>
  <si>
    <t>CI run 38737312900 (PR #106; tree identical to v3.0-M3-rc; Node 22.23.3): 199 tests, 191 pass, 0 fail, 8 skipped; NV-91 (docs/quality/M3_Test_Evidence_Records_v0.1.md, UT-1); docs/evidence/M3-e2e/E2E_local_run_v3.0-M3-rc_2026-10-15_run2.txt (at v3.0-M3-rc: E2E-1 pass, E2E-2a pass, E2E-2b expected failure); smoke check 4 on staging (docs/evidence/M3_Staging_Deploy_v3.0-M3-rc.md)</t>
  </si>
  <si>
    <t>Implemented. DEF-019: the second test's title cites AC-FR-6.7; it verifies AC-FR-6.3 (this row)</t>
  </si>
  <si>
    <t>requestStatus.test.js 'a Technician may not close a request — FR-6.4', 'a Requester may not move a request at all'; BB-4 decision table; E2E-2a</t>
  </si>
  <si>
    <t>From AC-FR-6.4: an unauthorised role's transition is refused and the status is unchanged</t>
  </si>
  <si>
    <t>CI run 38737312900 (PR #106; tree identical to v3.0-M3-rc; Node 22.23.3): 199 tests, 191 pass, 0 fail, 8 skipped; NV-99, NV-100 (docs/quality/M3_Test_Evidence_Records_v0.1.md, BB-4); docs/evidence/M3-e2e/E2E_local_run_v3.0-M3-rc_2026-10-15_run2.txt (at v3.0-M3-rc: E2E-1 pass, E2E-2a pass, E2E-2b expected failure)</t>
  </si>
  <si>
    <t>Implemented; the role mapping is OI-15. A wrong role gets 422, not 403 (DEF-011)</t>
  </si>
  <si>
    <t>requestStatus.test.js 'Resolved requires resolution information — FR-6.5' (BB-1); statusTransitionService.test.js 'a move to Resolved records the resolution summary, when and by whom'</t>
  </si>
  <si>
    <t>From AC-FR-6.5: a move to Resolved without resolution information is refused, stating that it is required</t>
  </si>
  <si>
    <t>CI run 38737312900 (PR #106; tree identical to v3.0-M3-rc; Node 22.23.3): 199 tests, 191 pass, 0 fail, 8 skipped; NV-95 (docs/quality/M3_Test_Evidence_Records_v0.1.md, BB-1)</t>
  </si>
  <si>
    <t>Implemented. Whether a reopened-then-resolved request satisfies FR-6.5 is open (OI-15)</t>
  </si>
  <si>
    <t>requestStatus.test.js 'Closed and Rejected require a recorded reason — FR-6.6' (BB-2); statusTransitionService.test.js 'closing records the reason and the closure clock'; E2E-1 steps 3 and 4</t>
  </si>
  <si>
    <t>From AC-FR-6.6: a close or reject without a reason is refused; with one, the reason is stored</t>
  </si>
  <si>
    <t>CI run 38737312900 (PR #106; tree identical to v3.0-M3-rc; Node 22.23.3): 199 tests, 191 pass, 0 fail, 8 skipped; NV-96, NV-97 NOT CAUGHT (docs/quality/M3_Test_Evidence_Records_v0.1.md, BB-2); docs/evidence/M3-e2e/E2E_local_run_v3.0-M3-rc_2026-10-15_run2.txt (at v3.0-M3-rc: E2E-1 pass, E2E-2a pass, E2E-2b expected failure)</t>
  </si>
  <si>
    <t>Implemented. Gap: no unit test asserts a reject without a reason is refused (NV-97, TD-006); E2E-1 step 3 covers it end to end. Whether a blank reason counts is open (OI-18)</t>
  </si>
  <si>
    <t>models.test.js 'requestHistory refuses {updateOne, findByIdAndUpdate, findByIdAndDelete, deleteMany, document deleteOne, bulkWrite} — FR-6.7, DB-01 layer 2' (UT-3); DB-01 layer 3 role verification</t>
  </si>
  <si>
    <t>From AC-FR-6.7: no operation to alter or delete a history entry is available, and the entry is unchanged</t>
  </si>
  <si>
    <t>CI run 38737312900 (PR #106; tree identical to v3.0-M3-rc; Node 22.23.3): 199 tests, 191 pass, 0 fail, 8 skipped; NV-93 (docs/quality/M3_Test_Evidence_Records_v0.1.md, UT-3); docs/evidence/DB-01_layer3_verification.txt</t>
  </si>
  <si>
    <t>Implemented at layers 2 and 3 (application role: find and insert only). DEF-019: requestStatus.test.js cites FR-6.7 for the Administrator rule, which FR-6.7 does not state (OI-15)</t>
  </si>
  <si>
    <t>authService.test.js 'every login attempt is audited, minimised, and the email is never recorded — NFR-1.4, M-1'; 'if the success event cannot be recorded, no session is created — NFR-1.4'</t>
  </si>
  <si>
    <t>From NFR-1.4: an immutable log entry for every authentication attempt (and transition and assignment), kept at least 90 days</t>
  </si>
  <si>
    <t>Partial: authentication attempts only; transition and assignment entries rely on the audit trigger, not shown in M3; 90-day retention not shown</t>
  </si>
  <si>
    <t>app.test.js 'health answers without a session, and reports both statuses — AC-NFR-1.6'; 'health reports a database outage as 503'; staging /health with release</t>
  </si>
  <si>
    <t>From AC-NFR-1.6: without authentication, the endpoint returns application and data-store status</t>
  </si>
  <si>
    <t>CI run 38737312900 (PR #106; tree identical to v3.0-M3-rc; Node 22.23.3): 199 tests, 191 pass, 0 fail, 8 skipped; staging /health 14:19:22 and smoke check 1 17:02:22 UTC, release 30ff0c6 (docs/evidence/M3_Staging_Deploy_v3.0-M3-rc.md)</t>
  </si>
  <si>
    <t>Implemented (#105 adds release). DEF-020: /health reported the database up while the app used the wrong database; it does not show which database</t>
  </si>
  <si>
    <t>NFR-2.4 load run (perf/load-run.js): 100 users, 600 s, from Stellenbosch against staging</t>
  </si>
  <si>
    <t>From AC-NFR-2.4: 100 concurrent authenticated users for 10 minutes, no failed request and no unhandled server error</t>
  </si>
  <si>
    <t>docs/evidence/M3-perf/NFR-2.4_load_run_2026-10-15.txt: PASS, 0 failed, 0 5xx, 6,835 requests (docs/evidence/M3_Staging_Deploy_v3.0-M3-rc.md, section 8)</t>
  </si>
  <si>
    <t>Passed on staging (one run). The journey is the team's (login, read, transition); submission and lists are not built. Staging, not production</t>
  </si>
  <si>
    <t>Staging checks over HTTPS with the certificate verified (health, load run, smoke)</t>
  </si>
  <si>
    <t>From AC-NFR-3.2: plain HTTP or TLS below 1.2 is refused or redirected</t>
  </si>
  <si>
    <t>docs/evidence/M3_Staging_Deploy_v3.0-M3-rc.md, sections 3a, 8, 9</t>
  </si>
  <si>
    <t>Partial: HTTPS is used and verified; refusal of plain HTTP and TLS below 1.2 is not tested. Staging uses a self-signed certificate on the IP, not DEC-003's Let's Encrypt</t>
  </si>
  <si>
    <t>authorisationGuard.test.js 'every non-public route in the composed application carries the guard'; integration wrong-role case; E2E-2a (direct API call bypassing the UI)</t>
  </si>
  <si>
    <t>From AC-NFR-3.3: an operation invoked directly against the server by an unauthorised role is refused</t>
  </si>
  <si>
    <t>CI run 38737312900 (PR #106; tree identical to v3.0-M3-rc; Node 22.23.3): 199 tests, 191 pass, 0 fail, 8 skipped; NV-01, R-01; docs/evidence/M3_API_Test_Run.txt (test cluster, 12/10/2026); docs/evidence/M3-e2e/E2E_local_run_v3.0-M3-rc_2026-10-15_run2.txt (at v3.0-M3-rc: E2E-1 pass, E2E-2a pass, E2E-2b expected failure)</t>
  </si>
  <si>
    <t>Partial: points 1 and 2 enforced; point 3 (response serialiser) not built (CFL-002, OI-16). Wrong role gets 422 not 403 (DEF-011)</t>
  </si>
  <si>
    <t>authService.test.js 'idle boundary: 29:59 since lastSeenAt is accepted, 30:00 is refused — NFR-3.4'</t>
  </si>
  <si>
    <t>From AC-NFR-3.4: after 30 minutes without activity the next operation requires re-authentication</t>
  </si>
  <si>
    <t>CI run 38737312900 (PR #106; tree identical to v3.0-M3-rc; Node 22.23.3): 199 tests, 191 pass, 0 fail, 8 skipped; NV-04, NV-05</t>
  </si>
  <si>
    <t>Implemented. No open defect</t>
  </si>
  <si>
    <t>CI secret scan (Gitleaks, full history) on every PR; weekly all-branch scan</t>
  </si>
  <si>
    <t>From AC-NFR-3.5: a secret scan of the full history reports no password, key, token or connection secret</t>
  </si>
  <si>
    <t>Every CI run, including 38737312900 (v3.0-M3-rc tree); all-branch run 38735993793 (15/10/2026): no leaks</t>
  </si>
  <si>
    <t>Implemented. Six reviewed false positives ignored by fingerprint (.gitleaksignore). No open defect</t>
  </si>
  <si>
    <t>CI layer check (routes and middleware import no models or repositories)</t>
  </si>
  <si>
    <t>From AC-NFR-1.7: no presentation component references a data-access component</t>
  </si>
  <si>
    <t>docs/evidence/M3-CI/GATE-01_layer_boundary_demonstration.txt; GATE-02_fail_closed_demonstration.txt; the check passes on every CI run</t>
  </si>
  <si>
    <t>Partial: the check covers src/routes and src/middleware imports only (not require or cross-module reads, PED M3.5.4). No open defect</t>
  </si>
  <si>
    <t>Separate Atlas clusters per environment (test, staging); index provisioning host guards</t>
  </si>
  <si>
    <t>From AC-NFR-1.8: each environment has a separate schema, none reads another's data, and schema changes are scripted</t>
  </si>
  <si>
    <t>docs/evidence/M3-indexes/ (test and staging runs, each refused unless the host marker matches); DEC-003 v0.4 environment map</t>
  </si>
  <si>
    <t>Partial: test and staging are separate clusters; development and production are not shown (production has no host). Indexes are scripted (TD-004 repaid)</t>
  </si>
  <si>
    <t>Integration case 3 'a failure after both writes and before commit persists neither — AC-NFR-1.10 v0.3, DEC-016' (test cluster); UT-1</t>
  </si>
  <si>
    <t>From AC-NFR-1.10 v0.3 as proposed in CR-001: a failure injected after the first write and before commit changes neither document</t>
  </si>
  <si>
    <t>docs/evidence/M3_API_Test_Run.txt (test cluster, 12/10/2026): case 3 passed; CI run 38737312900 (PR #106; tree identical to v3.0-M3-rc; Node 22.23.3): 199 tests, 191 pass, 0 fail, 8 skipped; NV-91</t>
  </si>
  <si>
    <t>Implemented and verified against a real cluster. The criterion tested is CR-001's proposed v0.3 (not baselined). The case runs by hand only (TD-008)</t>
  </si>
  <si>
    <t>Live artefact, version 0.9 at Milestone 3.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DEC-015 to DEC-017 and CR-001 to CR-004 referenced. Change notes: RTM_v0.5_Change_Notes.md. v0.6 (30/09/2026, C. Burger): ASR / quality-driver link and Architecture / module / component columns completed for all 79 rows from PED §6A (ASR-01 to ASR-06, DEC-014); requirements with no driver are marked explicitly. v0.7 (30/09/2026, R. van der Merwe): Implementation and Verification evidence populated for the 11 requirements the application slice now implements (FR-1.3, FR-1.5, FR-2.2, FR-3.5, FR-6.1 to FR-6.7), after PR #63; FR-1.5, FR-2.2 and FR-3.5 are recorded as partial. Status column unchanged. v0.8 (30/09/2026, E. Lindsay): NFR-3.3 Implementation and Verification evidence added; FR-1.3 and FR-6.7 corrected from Implemented to Partially implemented (AC-FR-1.3 rejected-attempt recording not built; DB-01 layer 3 is M3). Status column unchanged. v0.9 (11/10/2026, E. Lindsay): Implementation and Verification evidence added for FR-1.1, FR-1.4, NFR-1.4, NFR-1.6 and NFR-3.4 after the M3 Phase 0 composition root (PR #83, DEC-018); FR-1.1, FR-1.4 and NFR-1.4 recorded as partial. Design / interface entries for DEC-018 added on the same five rows. The application is reachable over HTTP against the Atlas test cluster (SMOKE-01); no index is evidenced on the cluster. Status column unchanged. Also corrected in v0.9: the NFR-3.4 Data/persistence cell, which said the TTL index enforces idle expiry — DB-01 v0.3 §3.9 states that reading is wrong, and the enforcement is in the application against lastSeenAt (R. van der Merwe's column, corrected by E. Lindsay and notified). The Architecture column on FR-1.4, NFR-1.6 and NFR-3.4 changed from "(planned)" to reflect the composed application (C. Burger's column, corrected by E. Lindsay and notified). NOTE ON EVIDENCE: Implementation and verification evidence is recorded at component level. Each component named is implemented and verified by npm test, with its collaborators substituted (no database, no HTTP). Since v0.9 the composition root (src/composition.js, src/server.js) composes the routes, services, repositories and unit of work, and the session middleware sets req.actor; the application is reachable over HTTP against the Atlas test cluster, recorded in docs/evidence/M3-P0/SMOKE-01_phase0_reachability.txt. SMOKE-01 is reachability evidence only: it does not show that any index exists on the cluster. Where a row cites SMOKE-01, that check ran against the cluster; every other cited test ran without a database. Verification that needs a live database (transaction atomicity and rollback, DB-01 layer 3, audit-trigger lag) is M3. v0.10 (15/10/2026, E. Lindsay): the M3 chain added as four columns (O test cases, P expected result, Q execution evidence, R defect / M3 status), populated for the 27 requirements the M3 release candidate (v3.0-M3-rc) implements or verifies; the other 52 rows are marked "Not in M3 scope" with the reason. Unit evidence is the CI run at the release candidate (Node 22); test evidence records UT-1 to UT-5 and BB-1 to BB-5 (M3_Test_Evidence_Records_v0.1.md); API cases on the test cluster; E2E at v3.0-M3-rc; staging, NFR-2.4 and smoke from the staging deploy record. Defects and debt cited: DEF-011, DEF-019, DEF-020, TD-005, TD-006, TD-008; open items OI-01, OI-15, OI-16, OI-17, OI-18. Columns A to N and the Status summary sheet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</si>
</sst>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4304F"/>
      <name val="Arial"/>
      <family val="2"/>
    </font>
    <font>
      <sz val="9"/>
      <color rgb="FF5A6672"/>
      <name val="Arial"/>
      <family val="2"/>
    </font>
    <font>
      <b/>
      <sz val="9"/>
      <color rgb="FFFFFFFF"/>
      <name val="Arial"/>
      <family val="2"/>
    </font>
    <font>
      <sz val="9"/>
      <name val="Arial"/>
      <family val="2"/>
    </font>
    <font>
      <b/>
      <sz val="9"/>
      <name val="Arial"/>
      <family val="2"/>
    </font>
    <font>
      <b/>
      <sz val="12"/>
      <color rgb="FF14304F"/>
      <name val="Arial"/>
      <family val="2"/>
    </font>
    <font>
      <sz val="11"/>
      <color theme="1"/>
      <name val="Calibri"/>
      <family val="2"/>
      <scheme val="minor"/>
    </font>
  </fonts>
  <fills count="7">
    <fill>
      <patternFill patternType="none"/>
    </fill>
    <fill>
      <patternFill patternType="gray125"/>
    </fill>
    <fill>
      <patternFill patternType="solid">
        <fgColor rgb="FF14304F"/>
      </patternFill>
    </fill>
    <fill>
      <patternFill patternType="solid">
        <fgColor rgb="FFFDF3E3"/>
      </patternFill>
    </fill>
    <fill>
      <patternFill patternType="solid">
        <fgColor rgb="FFF2F4F6"/>
      </patternFill>
    </fill>
    <fill>
      <patternFill patternType="solid">
        <fgColor rgb="FFEAF5EE"/>
      </patternFill>
    </fill>
    <fill>
      <patternFill patternType="solid">
        <fgColor rgb="FFFBEAEA"/>
      </patternFill>
    </fill>
  </fills>
  <borders count="3">
    <border>
      <left/>
      <right/>
      <top/>
      <bottom/>
      <diagonal/>
    </border>
    <border>
      <left style="thin">
        <color rgb="FFC7D3DF"/>
      </left>
      <right style="thin">
        <color rgb="FFC7D3DF"/>
      </right>
      <top style="thin">
        <color rgb="FFC7D3DF"/>
      </top>
      <bottom style="thin">
        <color rgb="FFC7D3DF"/>
      </bottom>
      <diagonal/>
    </border>
    <border>
      <left style="thin">
        <color rgb="FFC7D3DF"/>
      </left>
      <right style="thin">
        <color rgb="FFC7D3DF"/>
      </right>
      <top/>
      <bottom/>
      <diagonal/>
    </border>
  </borders>
  <cellStyleXfs count="2">
    <xf numFmtId="0" fontId="0" fillId="0" borderId="0"/>
    <xf numFmtId="9" fontId="7" fillId="0" borderId="0" applyFont="0" applyFill="0" applyBorder="0" applyAlignment="0" applyProtection="0"/>
  </cellStyleXfs>
  <cellXfs count="20">
    <xf numFmtId="0" fontId="0" fillId="0" borderId="0" xfId="0"/>
    <xf numFmtId="0" fontId="1" fillId="0" borderId="0" xfId="0" applyFont="1"/>
    <xf numFmtId="0" fontId="3" fillId="2" borderId="1" xfId="0" applyFont="1" applyFill="1" applyBorder="1" applyAlignment="1">
      <alignmen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0" borderId="0" xfId="0" applyFont="1"/>
    <xf numFmtId="0" fontId="3" fillId="2" borderId="1" xfId="0" applyFont="1" applyFill="1" applyBorder="1"/>
    <xf numFmtId="0" fontId="5" fillId="0" borderId="0" xfId="0" applyFont="1"/>
    <xf numFmtId="0" fontId="3" fillId="2" borderId="2" xfId="0" applyFont="1" applyFill="1" applyBorder="1"/>
    <xf numFmtId="10" fontId="0" fillId="0" borderId="0" xfId="0" applyNumberFormat="1" applyAlignment="1">
      <alignment horizontal="center" vertical="center"/>
    </xf>
    <xf numFmtId="9" fontId="0" fillId="0" borderId="0" xfId="1" applyFont="1" applyAlignment="1">
      <alignment horizontal="center" vertical="center"/>
    </xf>
    <xf numFmtId="0" fontId="2" fillId="0" borderId="0" xfId="0" applyFont="1"/>
    <xf numFmtId="0" fontId="0" fillId="0" borderId="0" xfId="0"/>
    <xf numFmtId="0" fontId="2" fillId="0" borderId="0" xfId="0" applyFont="1" applyAlignment="1">
      <alignment horizontal="center" vertical="top" wrapText="1"/>
    </xf>
    <xf numFmtId="0" fontId="3" fillId="2" borderId="2" xfId="0" applyFont="1" applyFill="1" applyBorder="1" applyAlignment="1">
      <alignment vertical="center" wrapText="1"/>
    </xf>
    <xf numFmtId="0" fontId="0" fillId="0" borderId="0" xfId="0" applyAlignment="1">
      <alignment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4"/>
  <sheetViews>
    <sheetView tabSelected="1" zoomScale="70" zoomScaleNormal="70" workbookViewId="0">
      <pane ySplit="5" topLeftCell="A61" activePane="bottomLeft" state="frozen"/>
      <selection pane="bottomLeft" activeCell="AD67" sqref="AD67"/>
    </sheetView>
  </sheetViews>
  <sheetFormatPr defaultRowHeight="14.4" x14ac:dyDescent="0.3"/>
  <cols>
    <col min="1" max="1" width="42.6640625" bestFit="1" customWidth="1"/>
    <col min="2" max="2" width="26" customWidth="1"/>
    <col min="3" max="3" width="66.109375" bestFit="1" customWidth="1"/>
    <col min="4" max="4" width="11.6640625" bestFit="1" customWidth="1"/>
    <col min="5" max="5" width="52" customWidth="1"/>
    <col min="6" max="6" width="33.33203125" bestFit="1" customWidth="1"/>
    <col min="7" max="7" width="38" bestFit="1" customWidth="1"/>
    <col min="8" max="8" width="41.109375" bestFit="1" customWidth="1"/>
    <col min="9" max="9" width="29" bestFit="1" customWidth="1"/>
    <col min="10" max="10" width="40" customWidth="1"/>
    <col min="11" max="11" width="45.33203125" customWidth="1"/>
    <col min="12" max="12" width="60.44140625" customWidth="1"/>
    <col min="13" max="13" width="21.88671875" bestFit="1" customWidth="1"/>
    <col min="14" max="14" width="36.6640625" bestFit="1" customWidth="1"/>
    <col min="15" max="15" width="20.5546875" customWidth="1"/>
    <col min="16" max="16" width="29.6640625" customWidth="1"/>
    <col min="17" max="17" width="26.77734375" customWidth="1"/>
    <col min="18" max="18" width="20.88671875" customWidth="1"/>
  </cols>
  <sheetData>
    <row r="1" spans="1:18" ht="17.399999999999999" x14ac:dyDescent="0.3">
      <c r="A1" s="1" t="s">
        <v>0</v>
      </c>
    </row>
    <row r="2" spans="1:18" ht="111.75" customHeight="1" x14ac:dyDescent="0.3">
      <c r="A2" s="17" t="s">
        <v>740</v>
      </c>
      <c r="B2" s="17"/>
      <c r="C2" s="17"/>
      <c r="D2" s="17"/>
      <c r="E2" s="17"/>
      <c r="F2" s="17"/>
      <c r="G2" s="17"/>
      <c r="H2" s="17"/>
      <c r="I2" s="17"/>
      <c r="J2" s="17"/>
      <c r="K2" s="17"/>
      <c r="L2" s="17"/>
      <c r="M2" s="17"/>
      <c r="N2" s="17"/>
    </row>
    <row r="3" spans="1:18" ht="70.95" customHeight="1" x14ac:dyDescent="0.3">
      <c r="A3" s="15" t="s">
        <v>1</v>
      </c>
      <c r="B3" s="16"/>
      <c r="C3" s="16"/>
      <c r="D3" s="16"/>
      <c r="E3" s="16"/>
      <c r="F3" s="16"/>
      <c r="G3" s="16"/>
      <c r="H3" s="16"/>
      <c r="I3" s="16"/>
      <c r="J3" s="16"/>
      <c r="K3" s="16"/>
      <c r="L3" s="16"/>
      <c r="M3" s="16"/>
      <c r="N3" s="16"/>
    </row>
    <row r="5" spans="1:18" ht="24" x14ac:dyDescent="0.3">
      <c r="A5" s="2" t="s">
        <v>2</v>
      </c>
      <c r="B5" s="2" t="s">
        <v>3</v>
      </c>
      <c r="C5" s="2" t="s">
        <v>4</v>
      </c>
      <c r="D5" s="2" t="s">
        <v>5</v>
      </c>
      <c r="E5" s="2" t="s">
        <v>6</v>
      </c>
      <c r="F5" s="2" t="s">
        <v>7</v>
      </c>
      <c r="G5" s="2" t="s">
        <v>8</v>
      </c>
      <c r="H5" s="2" t="s">
        <v>9</v>
      </c>
      <c r="I5" s="2" t="s">
        <v>10</v>
      </c>
      <c r="J5" s="2" t="s">
        <v>11</v>
      </c>
      <c r="K5" s="2" t="s">
        <v>12</v>
      </c>
      <c r="L5" s="2" t="s">
        <v>13</v>
      </c>
      <c r="M5" s="2" t="s">
        <v>14</v>
      </c>
      <c r="N5" s="2" t="s">
        <v>15</v>
      </c>
      <c r="O5" s="18" t="s">
        <v>628</v>
      </c>
      <c r="P5" s="18" t="s">
        <v>629</v>
      </c>
      <c r="Q5" s="18" t="s">
        <v>630</v>
      </c>
      <c r="R5" s="18" t="s">
        <v>631</v>
      </c>
    </row>
    <row r="6" spans="1:18" ht="187.2" x14ac:dyDescent="0.3">
      <c r="A6" s="3" t="s">
        <v>16</v>
      </c>
      <c r="B6" s="4" t="s">
        <v>17</v>
      </c>
      <c r="C6" s="4" t="s">
        <v>18</v>
      </c>
      <c r="D6" s="4" t="s">
        <v>19</v>
      </c>
      <c r="E6" s="4" t="s">
        <v>20</v>
      </c>
      <c r="F6" s="5" t="s">
        <v>21</v>
      </c>
      <c r="G6" s="5" t="s">
        <v>22</v>
      </c>
      <c r="H6" s="5" t="s">
        <v>23</v>
      </c>
      <c r="I6" s="5" t="s">
        <v>597</v>
      </c>
      <c r="J6" s="4" t="s">
        <v>24</v>
      </c>
      <c r="K6" s="4" t="s">
        <v>598</v>
      </c>
      <c r="L6" s="4" t="s">
        <v>599</v>
      </c>
      <c r="M6" s="7" t="s">
        <v>27</v>
      </c>
      <c r="N6" s="4" t="s">
        <v>600</v>
      </c>
      <c r="O6" s="19" t="s">
        <v>632</v>
      </c>
      <c r="P6" s="19" t="s">
        <v>633</v>
      </c>
      <c r="Q6" s="19" t="s">
        <v>634</v>
      </c>
      <c r="R6" s="19" t="s">
        <v>635</v>
      </c>
    </row>
    <row r="7" spans="1:18" ht="86.4" x14ac:dyDescent="0.3">
      <c r="A7" s="3" t="s">
        <v>29</v>
      </c>
      <c r="B7" s="4" t="s">
        <v>30</v>
      </c>
      <c r="C7" s="4" t="s">
        <v>31</v>
      </c>
      <c r="D7" s="4" t="s">
        <v>19</v>
      </c>
      <c r="E7" s="4" t="s">
        <v>32</v>
      </c>
      <c r="F7" s="5" t="s">
        <v>21</v>
      </c>
      <c r="G7" s="5" t="s">
        <v>33</v>
      </c>
      <c r="H7" s="5" t="s">
        <v>34</v>
      </c>
      <c r="I7" s="5" t="s">
        <v>35</v>
      </c>
      <c r="J7" s="4" t="s">
        <v>24</v>
      </c>
      <c r="K7" s="6" t="s">
        <v>25</v>
      </c>
      <c r="L7" s="6" t="s">
        <v>26</v>
      </c>
      <c r="M7" s="7" t="s">
        <v>27</v>
      </c>
      <c r="N7" s="4" t="s">
        <v>36</v>
      </c>
      <c r="O7" s="19" t="s">
        <v>636</v>
      </c>
      <c r="P7" s="19" t="s">
        <v>637</v>
      </c>
      <c r="Q7" s="19" t="s">
        <v>637</v>
      </c>
      <c r="R7" s="19" t="s">
        <v>637</v>
      </c>
    </row>
    <row r="8" spans="1:18" ht="201.6" x14ac:dyDescent="0.3">
      <c r="A8" s="3" t="s">
        <v>37</v>
      </c>
      <c r="B8" s="4" t="s">
        <v>38</v>
      </c>
      <c r="C8" s="4" t="s">
        <v>39</v>
      </c>
      <c r="D8" s="4" t="s">
        <v>19</v>
      </c>
      <c r="E8" s="4" t="s">
        <v>40</v>
      </c>
      <c r="F8" s="5" t="s">
        <v>21</v>
      </c>
      <c r="G8" s="5" t="s">
        <v>41</v>
      </c>
      <c r="H8" s="5" t="s">
        <v>42</v>
      </c>
      <c r="I8" s="5" t="s">
        <v>43</v>
      </c>
      <c r="J8" s="4" t="s">
        <v>24</v>
      </c>
      <c r="K8" s="4" t="s">
        <v>593</v>
      </c>
      <c r="L8" s="4" t="s">
        <v>44</v>
      </c>
      <c r="M8" s="7" t="s">
        <v>27</v>
      </c>
      <c r="N8" s="4" t="s">
        <v>45</v>
      </c>
      <c r="O8" s="19" t="s">
        <v>638</v>
      </c>
      <c r="P8" s="19" t="s">
        <v>639</v>
      </c>
      <c r="Q8" s="19" t="s">
        <v>640</v>
      </c>
      <c r="R8" s="19" t="s">
        <v>641</v>
      </c>
    </row>
    <row r="9" spans="1:18" ht="129.6" x14ac:dyDescent="0.3">
      <c r="A9" s="3" t="s">
        <v>46</v>
      </c>
      <c r="B9" s="4" t="s">
        <v>47</v>
      </c>
      <c r="C9" s="4" t="s">
        <v>48</v>
      </c>
      <c r="D9" s="4" t="s">
        <v>19</v>
      </c>
      <c r="E9" s="4" t="s">
        <v>49</v>
      </c>
      <c r="F9" s="5" t="s">
        <v>21</v>
      </c>
      <c r="G9" s="5" t="s">
        <v>601</v>
      </c>
      <c r="H9" s="5" t="s">
        <v>50</v>
      </c>
      <c r="I9" s="5" t="s">
        <v>602</v>
      </c>
      <c r="J9" s="4" t="s">
        <v>24</v>
      </c>
      <c r="K9" s="4" t="s">
        <v>603</v>
      </c>
      <c r="L9" s="4" t="s">
        <v>604</v>
      </c>
      <c r="M9" s="7" t="s">
        <v>27</v>
      </c>
      <c r="N9" s="4" t="s">
        <v>605</v>
      </c>
      <c r="O9" s="19" t="s">
        <v>642</v>
      </c>
      <c r="P9" s="19" t="s">
        <v>643</v>
      </c>
      <c r="Q9" s="19" t="s">
        <v>644</v>
      </c>
      <c r="R9" s="19" t="s">
        <v>645</v>
      </c>
    </row>
    <row r="10" spans="1:18" ht="158.4" x14ac:dyDescent="0.3">
      <c r="A10" s="3" t="s">
        <v>52</v>
      </c>
      <c r="B10" s="4" t="s">
        <v>53</v>
      </c>
      <c r="C10" s="4" t="s">
        <v>54</v>
      </c>
      <c r="D10" s="4" t="s">
        <v>19</v>
      </c>
      <c r="E10" s="4" t="s">
        <v>55</v>
      </c>
      <c r="F10" s="5" t="s">
        <v>56</v>
      </c>
      <c r="G10" s="5" t="s">
        <v>57</v>
      </c>
      <c r="H10" s="5" t="s">
        <v>58</v>
      </c>
      <c r="I10" s="5" t="s">
        <v>35</v>
      </c>
      <c r="J10" s="4" t="s">
        <v>24</v>
      </c>
      <c r="K10" s="4" t="s">
        <v>59</v>
      </c>
      <c r="L10" s="4" t="s">
        <v>60</v>
      </c>
      <c r="M10" s="7" t="s">
        <v>27</v>
      </c>
      <c r="N10" s="4" t="s">
        <v>61</v>
      </c>
      <c r="O10" s="19" t="s">
        <v>646</v>
      </c>
      <c r="P10" s="19" t="s">
        <v>647</v>
      </c>
      <c r="Q10" s="19" t="s">
        <v>648</v>
      </c>
      <c r="R10" s="19" t="s">
        <v>649</v>
      </c>
    </row>
    <row r="11" spans="1:18" ht="86.4" x14ac:dyDescent="0.3">
      <c r="A11" s="3" t="s">
        <v>62</v>
      </c>
      <c r="B11" s="4" t="s">
        <v>63</v>
      </c>
      <c r="C11" s="4" t="s">
        <v>64</v>
      </c>
      <c r="D11" s="4" t="s">
        <v>19</v>
      </c>
      <c r="E11" s="4" t="s">
        <v>65</v>
      </c>
      <c r="F11" s="5" t="s">
        <v>66</v>
      </c>
      <c r="G11" s="5" t="s">
        <v>67</v>
      </c>
      <c r="H11" s="5" t="s">
        <v>68</v>
      </c>
      <c r="I11" s="5" t="s">
        <v>69</v>
      </c>
      <c r="J11" s="4" t="s">
        <v>24</v>
      </c>
      <c r="K11" s="6" t="s">
        <v>25</v>
      </c>
      <c r="L11" s="6" t="s">
        <v>26</v>
      </c>
      <c r="M11" s="7" t="s">
        <v>27</v>
      </c>
      <c r="N11" s="4" t="s">
        <v>70</v>
      </c>
      <c r="O11" s="19" t="s">
        <v>636</v>
      </c>
      <c r="P11" s="19" t="s">
        <v>637</v>
      </c>
      <c r="Q11" s="19" t="s">
        <v>637</v>
      </c>
      <c r="R11" s="19" t="s">
        <v>637</v>
      </c>
    </row>
    <row r="12" spans="1:18" ht="115.2" x14ac:dyDescent="0.3">
      <c r="A12" s="3" t="s">
        <v>71</v>
      </c>
      <c r="B12" s="4" t="s">
        <v>72</v>
      </c>
      <c r="C12" s="4" t="s">
        <v>73</v>
      </c>
      <c r="D12" s="4" t="s">
        <v>19</v>
      </c>
      <c r="E12" s="4" t="s">
        <v>74</v>
      </c>
      <c r="F12" s="5" t="s">
        <v>75</v>
      </c>
      <c r="G12" s="5" t="s">
        <v>76</v>
      </c>
      <c r="H12" s="5" t="s">
        <v>77</v>
      </c>
      <c r="I12" s="5" t="s">
        <v>78</v>
      </c>
      <c r="J12" s="4" t="s">
        <v>24</v>
      </c>
      <c r="K12" s="4" t="s">
        <v>79</v>
      </c>
      <c r="L12" s="4" t="s">
        <v>80</v>
      </c>
      <c r="M12" s="7" t="s">
        <v>27</v>
      </c>
      <c r="N12" s="4" t="s">
        <v>81</v>
      </c>
      <c r="O12" s="19" t="s">
        <v>650</v>
      </c>
      <c r="P12" s="19" t="s">
        <v>651</v>
      </c>
      <c r="Q12" s="19" t="s">
        <v>644</v>
      </c>
      <c r="R12" s="19" t="s">
        <v>652</v>
      </c>
    </row>
    <row r="13" spans="1:18" ht="86.4" x14ac:dyDescent="0.3">
      <c r="A13" s="3" t="s">
        <v>82</v>
      </c>
      <c r="B13" s="4" t="s">
        <v>83</v>
      </c>
      <c r="C13" s="4" t="s">
        <v>84</v>
      </c>
      <c r="D13" s="4" t="s">
        <v>19</v>
      </c>
      <c r="E13" s="4" t="s">
        <v>85</v>
      </c>
      <c r="F13" s="5" t="s">
        <v>66</v>
      </c>
      <c r="G13" s="5" t="s">
        <v>86</v>
      </c>
      <c r="H13" s="5" t="s">
        <v>87</v>
      </c>
      <c r="I13" s="5" t="s">
        <v>35</v>
      </c>
      <c r="J13" s="4" t="s">
        <v>24</v>
      </c>
      <c r="K13" s="6" t="s">
        <v>25</v>
      </c>
      <c r="L13" s="6" t="s">
        <v>26</v>
      </c>
      <c r="M13" s="7" t="s">
        <v>27</v>
      </c>
      <c r="N13" s="4" t="s">
        <v>51</v>
      </c>
      <c r="O13" s="19" t="s">
        <v>636</v>
      </c>
      <c r="P13" s="19" t="s">
        <v>637</v>
      </c>
      <c r="Q13" s="19" t="s">
        <v>637</v>
      </c>
      <c r="R13" s="19" t="s">
        <v>637</v>
      </c>
    </row>
    <row r="14" spans="1:18" ht="86.4" x14ac:dyDescent="0.3">
      <c r="A14" s="3" t="s">
        <v>88</v>
      </c>
      <c r="B14" s="4" t="s">
        <v>89</v>
      </c>
      <c r="C14" s="4" t="s">
        <v>90</v>
      </c>
      <c r="D14" s="4" t="s">
        <v>91</v>
      </c>
      <c r="E14" s="4" t="s">
        <v>92</v>
      </c>
      <c r="F14" s="5" t="s">
        <v>66</v>
      </c>
      <c r="G14" s="5" t="s">
        <v>93</v>
      </c>
      <c r="H14" s="5" t="s">
        <v>94</v>
      </c>
      <c r="I14" s="5" t="s">
        <v>95</v>
      </c>
      <c r="J14" s="4" t="s">
        <v>24</v>
      </c>
      <c r="K14" s="6" t="s">
        <v>25</v>
      </c>
      <c r="L14" s="6" t="s">
        <v>26</v>
      </c>
      <c r="M14" s="7" t="s">
        <v>27</v>
      </c>
      <c r="N14" s="4" t="s">
        <v>96</v>
      </c>
      <c r="O14" s="19" t="s">
        <v>636</v>
      </c>
      <c r="P14" s="19" t="s">
        <v>637</v>
      </c>
      <c r="Q14" s="19" t="s">
        <v>637</v>
      </c>
      <c r="R14" s="19" t="s">
        <v>637</v>
      </c>
    </row>
    <row r="15" spans="1:18" ht="86.4" x14ac:dyDescent="0.3">
      <c r="A15" s="3" t="s">
        <v>97</v>
      </c>
      <c r="B15" s="4" t="s">
        <v>98</v>
      </c>
      <c r="C15" s="4" t="s">
        <v>99</v>
      </c>
      <c r="D15" s="4" t="s">
        <v>19</v>
      </c>
      <c r="E15" s="4" t="s">
        <v>100</v>
      </c>
      <c r="F15" s="5" t="s">
        <v>101</v>
      </c>
      <c r="G15" s="5" t="s">
        <v>102</v>
      </c>
      <c r="H15" s="4" t="s">
        <v>103</v>
      </c>
      <c r="I15" s="5" t="s">
        <v>35</v>
      </c>
      <c r="J15" s="4" t="s">
        <v>24</v>
      </c>
      <c r="K15" s="6" t="s">
        <v>25</v>
      </c>
      <c r="L15" s="6" t="s">
        <v>26</v>
      </c>
      <c r="M15" s="7" t="s">
        <v>27</v>
      </c>
      <c r="N15" s="4" t="s">
        <v>51</v>
      </c>
      <c r="O15" s="19" t="s">
        <v>636</v>
      </c>
      <c r="P15" s="19" t="s">
        <v>637</v>
      </c>
      <c r="Q15" s="19" t="s">
        <v>637</v>
      </c>
      <c r="R15" s="19" t="s">
        <v>637</v>
      </c>
    </row>
    <row r="16" spans="1:18" ht="115.2" x14ac:dyDescent="0.3">
      <c r="A16" s="3" t="s">
        <v>104</v>
      </c>
      <c r="B16" s="4" t="s">
        <v>105</v>
      </c>
      <c r="C16" s="4" t="s">
        <v>106</v>
      </c>
      <c r="D16" s="4" t="s">
        <v>19</v>
      </c>
      <c r="E16" s="4" t="s">
        <v>107</v>
      </c>
      <c r="F16" s="5" t="s">
        <v>66</v>
      </c>
      <c r="G16" s="5" t="s">
        <v>108</v>
      </c>
      <c r="H16" s="4" t="s">
        <v>109</v>
      </c>
      <c r="I16" s="5" t="s">
        <v>35</v>
      </c>
      <c r="J16" s="4" t="s">
        <v>24</v>
      </c>
      <c r="K16" s="6" t="s">
        <v>25</v>
      </c>
      <c r="L16" s="6" t="s">
        <v>26</v>
      </c>
      <c r="M16" s="7" t="s">
        <v>27</v>
      </c>
      <c r="N16" s="4" t="s">
        <v>110</v>
      </c>
      <c r="O16" s="19" t="s">
        <v>653</v>
      </c>
      <c r="P16" s="19" t="s">
        <v>654</v>
      </c>
      <c r="Q16" s="19" t="s">
        <v>655</v>
      </c>
      <c r="R16" s="19" t="s">
        <v>656</v>
      </c>
    </row>
    <row r="17" spans="1:18" ht="86.4" x14ac:dyDescent="0.3">
      <c r="A17" s="3" t="s">
        <v>111</v>
      </c>
      <c r="B17" s="4" t="s">
        <v>112</v>
      </c>
      <c r="C17" s="4" t="s">
        <v>113</v>
      </c>
      <c r="D17" s="4" t="s">
        <v>19</v>
      </c>
      <c r="E17" s="4" t="s">
        <v>114</v>
      </c>
      <c r="F17" s="5" t="s">
        <v>66</v>
      </c>
      <c r="G17" s="5" t="s">
        <v>115</v>
      </c>
      <c r="H17" s="5" t="s">
        <v>116</v>
      </c>
      <c r="I17" s="5" t="s">
        <v>35</v>
      </c>
      <c r="J17" s="4" t="s">
        <v>24</v>
      </c>
      <c r="K17" s="6" t="s">
        <v>25</v>
      </c>
      <c r="L17" s="6" t="s">
        <v>26</v>
      </c>
      <c r="M17" s="7" t="s">
        <v>27</v>
      </c>
      <c r="N17" s="4" t="s">
        <v>117</v>
      </c>
      <c r="O17" s="19" t="s">
        <v>636</v>
      </c>
      <c r="P17" s="19" t="s">
        <v>637</v>
      </c>
      <c r="Q17" s="19" t="s">
        <v>637</v>
      </c>
      <c r="R17" s="19" t="s">
        <v>637</v>
      </c>
    </row>
    <row r="18" spans="1:18" ht="86.4" x14ac:dyDescent="0.3">
      <c r="A18" s="3" t="s">
        <v>118</v>
      </c>
      <c r="B18" s="4" t="s">
        <v>112</v>
      </c>
      <c r="C18" s="4" t="s">
        <v>119</v>
      </c>
      <c r="D18" s="4" t="s">
        <v>19</v>
      </c>
      <c r="E18" s="4" t="s">
        <v>120</v>
      </c>
      <c r="F18" s="5" t="s">
        <v>66</v>
      </c>
      <c r="G18" s="5" t="s">
        <v>121</v>
      </c>
      <c r="H18" s="5" t="s">
        <v>122</v>
      </c>
      <c r="I18" s="5" t="s">
        <v>35</v>
      </c>
      <c r="J18" s="4" t="s">
        <v>24</v>
      </c>
      <c r="K18" s="6" t="s">
        <v>25</v>
      </c>
      <c r="L18" s="6" t="s">
        <v>26</v>
      </c>
      <c r="M18" s="7" t="s">
        <v>27</v>
      </c>
      <c r="N18" s="4" t="s">
        <v>51</v>
      </c>
      <c r="O18" s="19" t="s">
        <v>636</v>
      </c>
      <c r="P18" s="19" t="s">
        <v>637</v>
      </c>
      <c r="Q18" s="19" t="s">
        <v>637</v>
      </c>
      <c r="R18" s="19" t="s">
        <v>637</v>
      </c>
    </row>
    <row r="19" spans="1:18" ht="86.4" x14ac:dyDescent="0.3">
      <c r="A19" s="3" t="s">
        <v>123</v>
      </c>
      <c r="B19" s="4" t="s">
        <v>124</v>
      </c>
      <c r="C19" s="4" t="s">
        <v>125</v>
      </c>
      <c r="D19" s="4" t="s">
        <v>91</v>
      </c>
      <c r="E19" s="4" t="s">
        <v>126</v>
      </c>
      <c r="F19" s="5" t="s">
        <v>101</v>
      </c>
      <c r="G19" s="5" t="s">
        <v>127</v>
      </c>
      <c r="H19" s="5" t="s">
        <v>128</v>
      </c>
      <c r="I19" s="5" t="s">
        <v>129</v>
      </c>
      <c r="J19" s="4" t="s">
        <v>24</v>
      </c>
      <c r="K19" s="6" t="s">
        <v>25</v>
      </c>
      <c r="L19" s="6" t="s">
        <v>26</v>
      </c>
      <c r="M19" s="7" t="s">
        <v>27</v>
      </c>
      <c r="N19" s="4" t="s">
        <v>51</v>
      </c>
      <c r="O19" s="19" t="s">
        <v>636</v>
      </c>
      <c r="P19" s="19" t="s">
        <v>637</v>
      </c>
      <c r="Q19" s="19" t="s">
        <v>637</v>
      </c>
      <c r="R19" s="19" t="s">
        <v>637</v>
      </c>
    </row>
    <row r="20" spans="1:18" ht="86.4" x14ac:dyDescent="0.3">
      <c r="A20" s="3" t="s">
        <v>130</v>
      </c>
      <c r="B20" s="4" t="s">
        <v>131</v>
      </c>
      <c r="C20" s="4" t="s">
        <v>132</v>
      </c>
      <c r="D20" s="4" t="s">
        <v>19</v>
      </c>
      <c r="E20" s="4" t="s">
        <v>133</v>
      </c>
      <c r="F20" s="5" t="s">
        <v>66</v>
      </c>
      <c r="G20" s="5" t="s">
        <v>134</v>
      </c>
      <c r="H20" s="5" t="s">
        <v>135</v>
      </c>
      <c r="I20" s="5" t="s">
        <v>35</v>
      </c>
      <c r="J20" s="4" t="s">
        <v>24</v>
      </c>
      <c r="K20" s="6" t="s">
        <v>25</v>
      </c>
      <c r="L20" s="6" t="s">
        <v>26</v>
      </c>
      <c r="M20" s="7" t="s">
        <v>27</v>
      </c>
      <c r="N20" s="4" t="s">
        <v>136</v>
      </c>
      <c r="O20" s="19" t="s">
        <v>636</v>
      </c>
      <c r="P20" s="19" t="s">
        <v>637</v>
      </c>
      <c r="Q20" s="19" t="s">
        <v>637</v>
      </c>
      <c r="R20" s="19" t="s">
        <v>637</v>
      </c>
    </row>
    <row r="21" spans="1:18" ht="158.4" x14ac:dyDescent="0.3">
      <c r="A21" s="3" t="s">
        <v>137</v>
      </c>
      <c r="B21" s="4" t="s">
        <v>138</v>
      </c>
      <c r="C21" s="4" t="s">
        <v>139</v>
      </c>
      <c r="D21" s="4" t="s">
        <v>19</v>
      </c>
      <c r="E21" s="4" t="s">
        <v>140</v>
      </c>
      <c r="F21" s="5" t="s">
        <v>21</v>
      </c>
      <c r="G21" s="5" t="s">
        <v>141</v>
      </c>
      <c r="H21" s="5" t="s">
        <v>142</v>
      </c>
      <c r="I21" s="5" t="s">
        <v>35</v>
      </c>
      <c r="J21" s="4" t="s">
        <v>24</v>
      </c>
      <c r="K21" s="4" t="s">
        <v>143</v>
      </c>
      <c r="L21" s="4" t="s">
        <v>144</v>
      </c>
      <c r="M21" s="7" t="s">
        <v>27</v>
      </c>
      <c r="N21" s="4" t="s">
        <v>145</v>
      </c>
      <c r="O21" s="19" t="s">
        <v>657</v>
      </c>
      <c r="P21" s="19" t="s">
        <v>658</v>
      </c>
      <c r="Q21" s="19" t="s">
        <v>659</v>
      </c>
      <c r="R21" s="19" t="s">
        <v>660</v>
      </c>
    </row>
    <row r="22" spans="1:18" ht="129.6" x14ac:dyDescent="0.3">
      <c r="A22" s="3" t="s">
        <v>146</v>
      </c>
      <c r="B22" s="4" t="s">
        <v>147</v>
      </c>
      <c r="C22" s="4" t="s">
        <v>148</v>
      </c>
      <c r="D22" s="4" t="s">
        <v>19</v>
      </c>
      <c r="E22" s="4" t="s">
        <v>149</v>
      </c>
      <c r="F22" s="5" t="s">
        <v>56</v>
      </c>
      <c r="G22" s="5" t="s">
        <v>150</v>
      </c>
      <c r="H22" s="5" t="s">
        <v>151</v>
      </c>
      <c r="I22" s="5" t="s">
        <v>152</v>
      </c>
      <c r="J22" s="4" t="s">
        <v>24</v>
      </c>
      <c r="K22" s="6" t="s">
        <v>25</v>
      </c>
      <c r="L22" s="6" t="s">
        <v>26</v>
      </c>
      <c r="M22" s="7" t="s">
        <v>27</v>
      </c>
      <c r="N22" s="4" t="s">
        <v>153</v>
      </c>
      <c r="O22" s="19" t="s">
        <v>661</v>
      </c>
      <c r="P22" s="19" t="s">
        <v>662</v>
      </c>
      <c r="Q22" s="19" t="s">
        <v>663</v>
      </c>
      <c r="R22" s="19" t="s">
        <v>664</v>
      </c>
    </row>
    <row r="23" spans="1:18" ht="115.2" x14ac:dyDescent="0.3">
      <c r="A23" s="3" t="s">
        <v>154</v>
      </c>
      <c r="B23" s="4" t="s">
        <v>155</v>
      </c>
      <c r="C23" s="4" t="s">
        <v>156</v>
      </c>
      <c r="D23" s="4" t="s">
        <v>19</v>
      </c>
      <c r="E23" s="4" t="s">
        <v>157</v>
      </c>
      <c r="F23" s="5" t="s">
        <v>21</v>
      </c>
      <c r="G23" s="5" t="s">
        <v>158</v>
      </c>
      <c r="H23" s="5" t="s">
        <v>159</v>
      </c>
      <c r="I23" s="5" t="s">
        <v>35</v>
      </c>
      <c r="J23" s="4" t="s">
        <v>24</v>
      </c>
      <c r="K23" s="6" t="s">
        <v>25</v>
      </c>
      <c r="L23" s="6" t="s">
        <v>26</v>
      </c>
      <c r="M23" s="7" t="s">
        <v>27</v>
      </c>
      <c r="N23" s="4" t="s">
        <v>51</v>
      </c>
      <c r="O23" s="19" t="s">
        <v>665</v>
      </c>
      <c r="P23" s="19" t="s">
        <v>666</v>
      </c>
      <c r="Q23" s="19" t="s">
        <v>667</v>
      </c>
      <c r="R23" s="19" t="s">
        <v>668</v>
      </c>
    </row>
    <row r="24" spans="1:18" ht="129.6" x14ac:dyDescent="0.3">
      <c r="A24" s="3" t="s">
        <v>160</v>
      </c>
      <c r="B24" s="4" t="s">
        <v>161</v>
      </c>
      <c r="C24" s="4" t="s">
        <v>162</v>
      </c>
      <c r="D24" s="4" t="s">
        <v>19</v>
      </c>
      <c r="E24" s="4" t="s">
        <v>163</v>
      </c>
      <c r="F24" s="5" t="s">
        <v>21</v>
      </c>
      <c r="G24" s="5" t="s">
        <v>164</v>
      </c>
      <c r="H24" s="5" t="s">
        <v>165</v>
      </c>
      <c r="I24" s="5" t="s">
        <v>35</v>
      </c>
      <c r="J24" s="4" t="s">
        <v>24</v>
      </c>
      <c r="K24" s="6" t="s">
        <v>25</v>
      </c>
      <c r="L24" s="6" t="s">
        <v>26</v>
      </c>
      <c r="M24" s="8" t="s">
        <v>166</v>
      </c>
      <c r="N24" s="4" t="s">
        <v>167</v>
      </c>
      <c r="O24" s="19" t="s">
        <v>669</v>
      </c>
      <c r="P24" s="19" t="s">
        <v>670</v>
      </c>
      <c r="Q24" s="19" t="s">
        <v>671</v>
      </c>
      <c r="R24" s="19" t="s">
        <v>672</v>
      </c>
    </row>
    <row r="25" spans="1:18" ht="86.4" x14ac:dyDescent="0.3">
      <c r="A25" s="3" t="s">
        <v>168</v>
      </c>
      <c r="B25" s="4" t="s">
        <v>169</v>
      </c>
      <c r="C25" s="4" t="s">
        <v>170</v>
      </c>
      <c r="D25" s="4" t="s">
        <v>19</v>
      </c>
      <c r="E25" s="4" t="s">
        <v>171</v>
      </c>
      <c r="F25" s="5" t="s">
        <v>172</v>
      </c>
      <c r="G25" s="5" t="s">
        <v>173</v>
      </c>
      <c r="H25" s="5" t="s">
        <v>174</v>
      </c>
      <c r="I25" s="5" t="s">
        <v>175</v>
      </c>
      <c r="J25" s="4" t="s">
        <v>24</v>
      </c>
      <c r="K25" s="6" t="s">
        <v>25</v>
      </c>
      <c r="L25" s="6" t="s">
        <v>26</v>
      </c>
      <c r="M25" s="7" t="s">
        <v>27</v>
      </c>
      <c r="N25" s="4" t="s">
        <v>28</v>
      </c>
      <c r="O25" s="19" t="s">
        <v>636</v>
      </c>
      <c r="P25" s="19" t="s">
        <v>637</v>
      </c>
      <c r="Q25" s="19" t="s">
        <v>637</v>
      </c>
      <c r="R25" s="19" t="s">
        <v>637</v>
      </c>
    </row>
    <row r="26" spans="1:18" ht="86.4" x14ac:dyDescent="0.3">
      <c r="A26" s="3" t="s">
        <v>176</v>
      </c>
      <c r="B26" s="4" t="s">
        <v>169</v>
      </c>
      <c r="C26" s="4" t="s">
        <v>177</v>
      </c>
      <c r="D26" s="4" t="s">
        <v>19</v>
      </c>
      <c r="E26" s="4" t="s">
        <v>178</v>
      </c>
      <c r="F26" s="5" t="s">
        <v>172</v>
      </c>
      <c r="G26" s="5" t="s">
        <v>179</v>
      </c>
      <c r="H26" s="5" t="s">
        <v>180</v>
      </c>
      <c r="I26" s="5" t="s">
        <v>181</v>
      </c>
      <c r="J26" s="4" t="s">
        <v>24</v>
      </c>
      <c r="K26" s="6" t="s">
        <v>25</v>
      </c>
      <c r="L26" s="6" t="s">
        <v>26</v>
      </c>
      <c r="M26" s="7" t="s">
        <v>27</v>
      </c>
      <c r="N26" s="4" t="s">
        <v>182</v>
      </c>
      <c r="O26" s="19" t="s">
        <v>636</v>
      </c>
      <c r="P26" s="19" t="s">
        <v>637</v>
      </c>
      <c r="Q26" s="19" t="s">
        <v>637</v>
      </c>
      <c r="R26" s="19" t="s">
        <v>637</v>
      </c>
    </row>
    <row r="27" spans="1:18" ht="86.4" x14ac:dyDescent="0.3">
      <c r="A27" s="3" t="s">
        <v>183</v>
      </c>
      <c r="B27" s="4" t="s">
        <v>169</v>
      </c>
      <c r="C27" s="4" t="s">
        <v>184</v>
      </c>
      <c r="D27" s="4" t="s">
        <v>185</v>
      </c>
      <c r="E27" s="4" t="s">
        <v>186</v>
      </c>
      <c r="F27" s="5" t="s">
        <v>172</v>
      </c>
      <c r="G27" s="5" t="s">
        <v>187</v>
      </c>
      <c r="H27" s="5" t="s">
        <v>188</v>
      </c>
      <c r="I27" s="5" t="s">
        <v>35</v>
      </c>
      <c r="J27" s="4" t="s">
        <v>24</v>
      </c>
      <c r="K27" s="6" t="s">
        <v>25</v>
      </c>
      <c r="L27" s="6" t="s">
        <v>26</v>
      </c>
      <c r="M27" s="7" t="s">
        <v>27</v>
      </c>
      <c r="N27" s="4" t="s">
        <v>51</v>
      </c>
      <c r="O27" s="19" t="s">
        <v>636</v>
      </c>
      <c r="P27" s="19" t="s">
        <v>637</v>
      </c>
      <c r="Q27" s="19" t="s">
        <v>637</v>
      </c>
      <c r="R27" s="19" t="s">
        <v>637</v>
      </c>
    </row>
    <row r="28" spans="1:18" ht="86.4" x14ac:dyDescent="0.3">
      <c r="A28" s="3" t="s">
        <v>189</v>
      </c>
      <c r="B28" s="4" t="s">
        <v>190</v>
      </c>
      <c r="C28" s="4" t="s">
        <v>191</v>
      </c>
      <c r="D28" s="4" t="s">
        <v>19</v>
      </c>
      <c r="E28" s="4" t="s">
        <v>192</v>
      </c>
      <c r="F28" s="5" t="s">
        <v>21</v>
      </c>
      <c r="G28" s="5" t="s">
        <v>193</v>
      </c>
      <c r="H28" s="5" t="s">
        <v>194</v>
      </c>
      <c r="I28" s="5" t="s">
        <v>35</v>
      </c>
      <c r="J28" s="4" t="s">
        <v>24</v>
      </c>
      <c r="K28" s="6" t="s">
        <v>25</v>
      </c>
      <c r="L28" s="6" t="s">
        <v>26</v>
      </c>
      <c r="M28" s="7" t="s">
        <v>27</v>
      </c>
      <c r="N28" s="4" t="s">
        <v>51</v>
      </c>
      <c r="O28" s="19" t="s">
        <v>636</v>
      </c>
      <c r="P28" s="19" t="s">
        <v>637</v>
      </c>
      <c r="Q28" s="19" t="s">
        <v>637</v>
      </c>
      <c r="R28" s="19" t="s">
        <v>637</v>
      </c>
    </row>
    <row r="29" spans="1:18" ht="86.4" x14ac:dyDescent="0.3">
      <c r="A29" s="3" t="s">
        <v>195</v>
      </c>
      <c r="B29" s="4" t="s">
        <v>196</v>
      </c>
      <c r="C29" s="4" t="s">
        <v>197</v>
      </c>
      <c r="D29" s="4" t="s">
        <v>19</v>
      </c>
      <c r="E29" s="4" t="s">
        <v>198</v>
      </c>
      <c r="F29" s="5" t="s">
        <v>21</v>
      </c>
      <c r="G29" s="5" t="s">
        <v>199</v>
      </c>
      <c r="H29" s="5" t="s">
        <v>200</v>
      </c>
      <c r="I29" s="5" t="s">
        <v>201</v>
      </c>
      <c r="J29" s="4" t="s">
        <v>24</v>
      </c>
      <c r="K29" s="6" t="s">
        <v>25</v>
      </c>
      <c r="L29" s="6" t="s">
        <v>26</v>
      </c>
      <c r="M29" s="7" t="s">
        <v>27</v>
      </c>
      <c r="N29" s="4" t="s">
        <v>70</v>
      </c>
      <c r="O29" s="19" t="s">
        <v>636</v>
      </c>
      <c r="P29" s="19" t="s">
        <v>637</v>
      </c>
      <c r="Q29" s="19" t="s">
        <v>637</v>
      </c>
      <c r="R29" s="19" t="s">
        <v>637</v>
      </c>
    </row>
    <row r="30" spans="1:18" ht="86.4" x14ac:dyDescent="0.3">
      <c r="A30" s="3" t="s">
        <v>202</v>
      </c>
      <c r="B30" s="4" t="s">
        <v>203</v>
      </c>
      <c r="C30" s="4" t="s">
        <v>204</v>
      </c>
      <c r="D30" s="4" t="s">
        <v>19</v>
      </c>
      <c r="E30" s="4" t="s">
        <v>205</v>
      </c>
      <c r="F30" s="5" t="s">
        <v>21</v>
      </c>
      <c r="G30" s="5" t="s">
        <v>206</v>
      </c>
      <c r="H30" s="5" t="s">
        <v>207</v>
      </c>
      <c r="I30" s="5" t="s">
        <v>35</v>
      </c>
      <c r="J30" s="4" t="s">
        <v>24</v>
      </c>
      <c r="K30" s="6" t="s">
        <v>25</v>
      </c>
      <c r="L30" s="6" t="s">
        <v>26</v>
      </c>
      <c r="M30" s="7" t="s">
        <v>27</v>
      </c>
      <c r="N30" s="4" t="s">
        <v>110</v>
      </c>
      <c r="O30" s="19" t="s">
        <v>636</v>
      </c>
      <c r="P30" s="19" t="s">
        <v>637</v>
      </c>
      <c r="Q30" s="19" t="s">
        <v>637</v>
      </c>
      <c r="R30" s="19" t="s">
        <v>637</v>
      </c>
    </row>
    <row r="31" spans="1:18" ht="86.4" x14ac:dyDescent="0.3">
      <c r="A31" s="3" t="s">
        <v>208</v>
      </c>
      <c r="B31" s="4" t="s">
        <v>209</v>
      </c>
      <c r="C31" s="4" t="s">
        <v>210</v>
      </c>
      <c r="D31" s="4" t="s">
        <v>19</v>
      </c>
      <c r="E31" s="4" t="s">
        <v>211</v>
      </c>
      <c r="F31" s="5" t="s">
        <v>101</v>
      </c>
      <c r="G31" s="5" t="s">
        <v>212</v>
      </c>
      <c r="H31" s="5" t="s">
        <v>213</v>
      </c>
      <c r="I31" s="5" t="s">
        <v>214</v>
      </c>
      <c r="J31" s="4" t="s">
        <v>24</v>
      </c>
      <c r="K31" s="6" t="s">
        <v>25</v>
      </c>
      <c r="L31" s="6" t="s">
        <v>26</v>
      </c>
      <c r="M31" s="7" t="s">
        <v>27</v>
      </c>
      <c r="N31" s="4" t="s">
        <v>110</v>
      </c>
      <c r="O31" s="19" t="s">
        <v>636</v>
      </c>
      <c r="P31" s="19" t="s">
        <v>637</v>
      </c>
      <c r="Q31" s="19" t="s">
        <v>637</v>
      </c>
      <c r="R31" s="19" t="s">
        <v>637</v>
      </c>
    </row>
    <row r="32" spans="1:18" ht="86.4" x14ac:dyDescent="0.3">
      <c r="A32" s="3" t="s">
        <v>215</v>
      </c>
      <c r="B32" s="4" t="s">
        <v>216</v>
      </c>
      <c r="C32" s="4" t="s">
        <v>217</v>
      </c>
      <c r="D32" s="4" t="s">
        <v>19</v>
      </c>
      <c r="E32" s="4" t="s">
        <v>218</v>
      </c>
      <c r="F32" s="5" t="s">
        <v>101</v>
      </c>
      <c r="G32" s="5" t="s">
        <v>219</v>
      </c>
      <c r="H32" s="4" t="s">
        <v>220</v>
      </c>
      <c r="I32" s="5" t="s">
        <v>35</v>
      </c>
      <c r="J32" s="4" t="s">
        <v>24</v>
      </c>
      <c r="K32" s="6" t="s">
        <v>25</v>
      </c>
      <c r="L32" s="6" t="s">
        <v>26</v>
      </c>
      <c r="M32" s="7" t="s">
        <v>27</v>
      </c>
      <c r="N32" s="4" t="s">
        <v>51</v>
      </c>
      <c r="O32" s="19" t="s">
        <v>636</v>
      </c>
      <c r="P32" s="19" t="s">
        <v>637</v>
      </c>
      <c r="Q32" s="19" t="s">
        <v>637</v>
      </c>
      <c r="R32" s="19" t="s">
        <v>637</v>
      </c>
    </row>
    <row r="33" spans="1:18" ht="86.4" x14ac:dyDescent="0.3">
      <c r="A33" s="3" t="s">
        <v>221</v>
      </c>
      <c r="B33" s="4" t="s">
        <v>222</v>
      </c>
      <c r="C33" s="4" t="s">
        <v>223</v>
      </c>
      <c r="D33" s="4" t="s">
        <v>91</v>
      </c>
      <c r="E33" s="4" t="s">
        <v>224</v>
      </c>
      <c r="F33" s="5" t="s">
        <v>21</v>
      </c>
      <c r="G33" s="5" t="s">
        <v>225</v>
      </c>
      <c r="H33" s="5" t="s">
        <v>226</v>
      </c>
      <c r="I33" s="5" t="s">
        <v>35</v>
      </c>
      <c r="J33" s="4" t="s">
        <v>24</v>
      </c>
      <c r="K33" s="6" t="s">
        <v>25</v>
      </c>
      <c r="L33" s="6" t="s">
        <v>26</v>
      </c>
      <c r="M33" s="7" t="s">
        <v>27</v>
      </c>
      <c r="N33" s="4" t="s">
        <v>51</v>
      </c>
      <c r="O33" s="19" t="s">
        <v>636</v>
      </c>
      <c r="P33" s="19" t="s">
        <v>637</v>
      </c>
      <c r="Q33" s="19" t="s">
        <v>637</v>
      </c>
      <c r="R33" s="19" t="s">
        <v>637</v>
      </c>
    </row>
    <row r="34" spans="1:18" ht="158.4" x14ac:dyDescent="0.3">
      <c r="A34" s="3" t="s">
        <v>227</v>
      </c>
      <c r="B34" s="4" t="s">
        <v>228</v>
      </c>
      <c r="C34" s="4" t="s">
        <v>229</v>
      </c>
      <c r="D34" s="4" t="s">
        <v>19</v>
      </c>
      <c r="E34" s="4" t="s">
        <v>230</v>
      </c>
      <c r="F34" s="5" t="s">
        <v>66</v>
      </c>
      <c r="G34" s="5" t="s">
        <v>231</v>
      </c>
      <c r="H34" s="5" t="s">
        <v>232</v>
      </c>
      <c r="I34" s="5" t="s">
        <v>35</v>
      </c>
      <c r="J34" s="4" t="s">
        <v>24</v>
      </c>
      <c r="K34" s="4" t="s">
        <v>233</v>
      </c>
      <c r="L34" s="4" t="s">
        <v>234</v>
      </c>
      <c r="M34" s="7" t="s">
        <v>27</v>
      </c>
      <c r="N34" s="4" t="s">
        <v>235</v>
      </c>
      <c r="O34" s="19" t="s">
        <v>673</v>
      </c>
      <c r="P34" s="19" t="s">
        <v>674</v>
      </c>
      <c r="Q34" s="19" t="s">
        <v>675</v>
      </c>
      <c r="R34" s="19" t="s">
        <v>676</v>
      </c>
    </row>
    <row r="35" spans="1:18" ht="129.6" x14ac:dyDescent="0.3">
      <c r="A35" s="3" t="s">
        <v>236</v>
      </c>
      <c r="B35" s="4" t="s">
        <v>237</v>
      </c>
      <c r="C35" s="4" t="s">
        <v>238</v>
      </c>
      <c r="D35" s="4" t="s">
        <v>19</v>
      </c>
      <c r="E35" s="4" t="s">
        <v>239</v>
      </c>
      <c r="F35" s="5" t="s">
        <v>101</v>
      </c>
      <c r="G35" s="5" t="s">
        <v>240</v>
      </c>
      <c r="H35" s="5" t="s">
        <v>241</v>
      </c>
      <c r="I35" s="5" t="s">
        <v>242</v>
      </c>
      <c r="J35" s="4" t="s">
        <v>24</v>
      </c>
      <c r="K35" s="4" t="s">
        <v>243</v>
      </c>
      <c r="L35" s="4" t="s">
        <v>244</v>
      </c>
      <c r="M35" s="7" t="s">
        <v>27</v>
      </c>
      <c r="N35" s="4" t="s">
        <v>245</v>
      </c>
      <c r="O35" s="19" t="s">
        <v>677</v>
      </c>
      <c r="P35" s="19" t="s">
        <v>678</v>
      </c>
      <c r="Q35" s="19" t="s">
        <v>679</v>
      </c>
      <c r="R35" s="19" t="s">
        <v>680</v>
      </c>
    </row>
    <row r="36" spans="1:18" ht="201.6" x14ac:dyDescent="0.3">
      <c r="A36" s="3" t="s">
        <v>246</v>
      </c>
      <c r="B36" s="4" t="s">
        <v>98</v>
      </c>
      <c r="C36" s="4" t="s">
        <v>247</v>
      </c>
      <c r="D36" s="4" t="s">
        <v>19</v>
      </c>
      <c r="E36" s="4" t="s">
        <v>248</v>
      </c>
      <c r="F36" s="5" t="s">
        <v>101</v>
      </c>
      <c r="G36" s="5" t="s">
        <v>240</v>
      </c>
      <c r="H36" s="4" t="s">
        <v>249</v>
      </c>
      <c r="I36" s="5" t="s">
        <v>35</v>
      </c>
      <c r="J36" s="4" t="s">
        <v>24</v>
      </c>
      <c r="K36" s="4" t="s">
        <v>250</v>
      </c>
      <c r="L36" s="4" t="s">
        <v>251</v>
      </c>
      <c r="M36" s="7" t="s">
        <v>27</v>
      </c>
      <c r="N36" s="4" t="s">
        <v>51</v>
      </c>
      <c r="O36" s="19" t="s">
        <v>681</v>
      </c>
      <c r="P36" s="19" t="s">
        <v>682</v>
      </c>
      <c r="Q36" s="19" t="s">
        <v>683</v>
      </c>
      <c r="R36" s="19" t="s">
        <v>684</v>
      </c>
    </row>
    <row r="37" spans="1:18" ht="172.8" x14ac:dyDescent="0.3">
      <c r="A37" s="3" t="s">
        <v>252</v>
      </c>
      <c r="B37" s="4" t="s">
        <v>253</v>
      </c>
      <c r="C37" s="4" t="s">
        <v>254</v>
      </c>
      <c r="D37" s="4" t="s">
        <v>19</v>
      </c>
      <c r="E37" s="4" t="s">
        <v>255</v>
      </c>
      <c r="F37" s="5" t="s">
        <v>21</v>
      </c>
      <c r="G37" s="5" t="s">
        <v>256</v>
      </c>
      <c r="H37" s="5" t="s">
        <v>257</v>
      </c>
      <c r="I37" s="5" t="s">
        <v>258</v>
      </c>
      <c r="J37" s="4" t="s">
        <v>24</v>
      </c>
      <c r="K37" s="4" t="s">
        <v>259</v>
      </c>
      <c r="L37" s="4" t="s">
        <v>260</v>
      </c>
      <c r="M37" s="7" t="s">
        <v>27</v>
      </c>
      <c r="N37" s="4" t="s">
        <v>261</v>
      </c>
      <c r="O37" s="19" t="s">
        <v>685</v>
      </c>
      <c r="P37" s="19" t="s">
        <v>686</v>
      </c>
      <c r="Q37" s="19" t="s">
        <v>687</v>
      </c>
      <c r="R37" s="19" t="s">
        <v>688</v>
      </c>
    </row>
    <row r="38" spans="1:18" ht="129.6" x14ac:dyDescent="0.3">
      <c r="A38" s="3" t="s">
        <v>262</v>
      </c>
      <c r="B38" s="4" t="s">
        <v>263</v>
      </c>
      <c r="C38" s="4" t="s">
        <v>264</v>
      </c>
      <c r="D38" s="4" t="s">
        <v>19</v>
      </c>
      <c r="E38" s="4" t="s">
        <v>265</v>
      </c>
      <c r="F38" s="5" t="s">
        <v>66</v>
      </c>
      <c r="G38" s="5" t="s">
        <v>266</v>
      </c>
      <c r="H38" s="5" t="s">
        <v>267</v>
      </c>
      <c r="I38" s="5" t="s">
        <v>268</v>
      </c>
      <c r="J38" s="4" t="s">
        <v>24</v>
      </c>
      <c r="K38" s="4" t="s">
        <v>269</v>
      </c>
      <c r="L38" s="4" t="s">
        <v>270</v>
      </c>
      <c r="M38" s="7" t="s">
        <v>27</v>
      </c>
      <c r="N38" s="4" t="s">
        <v>51</v>
      </c>
      <c r="O38" s="19" t="s">
        <v>689</v>
      </c>
      <c r="P38" s="19" t="s">
        <v>690</v>
      </c>
      <c r="Q38" s="19" t="s">
        <v>691</v>
      </c>
      <c r="R38" s="19" t="s">
        <v>692</v>
      </c>
    </row>
    <row r="39" spans="1:18" ht="172.8" x14ac:dyDescent="0.3">
      <c r="A39" s="3" t="s">
        <v>271</v>
      </c>
      <c r="B39" s="4" t="s">
        <v>272</v>
      </c>
      <c r="C39" s="4" t="s">
        <v>273</v>
      </c>
      <c r="D39" s="4" t="s">
        <v>19</v>
      </c>
      <c r="E39" s="4" t="s">
        <v>274</v>
      </c>
      <c r="F39" s="5" t="s">
        <v>66</v>
      </c>
      <c r="G39" s="5" t="s">
        <v>275</v>
      </c>
      <c r="H39" s="5" t="s">
        <v>276</v>
      </c>
      <c r="I39" s="5" t="s">
        <v>35</v>
      </c>
      <c r="J39" s="4" t="s">
        <v>24</v>
      </c>
      <c r="K39" s="4" t="s">
        <v>277</v>
      </c>
      <c r="L39" s="4" t="s">
        <v>278</v>
      </c>
      <c r="M39" s="7" t="s">
        <v>27</v>
      </c>
      <c r="N39" s="4" t="s">
        <v>279</v>
      </c>
      <c r="O39" s="19" t="s">
        <v>693</v>
      </c>
      <c r="P39" s="19" t="s">
        <v>694</v>
      </c>
      <c r="Q39" s="19" t="s">
        <v>695</v>
      </c>
      <c r="R39" s="19" t="s">
        <v>696</v>
      </c>
    </row>
    <row r="40" spans="1:18" ht="144" x14ac:dyDescent="0.3">
      <c r="A40" s="3" t="s">
        <v>280</v>
      </c>
      <c r="B40" s="4" t="s">
        <v>281</v>
      </c>
      <c r="C40" s="4" t="s">
        <v>282</v>
      </c>
      <c r="D40" s="4" t="s">
        <v>19</v>
      </c>
      <c r="E40" s="4" t="s">
        <v>283</v>
      </c>
      <c r="F40" s="5" t="s">
        <v>101</v>
      </c>
      <c r="G40" s="5" t="s">
        <v>284</v>
      </c>
      <c r="H40" s="4" t="s">
        <v>285</v>
      </c>
      <c r="I40" s="5" t="s">
        <v>35</v>
      </c>
      <c r="J40" s="4" t="s">
        <v>24</v>
      </c>
      <c r="K40" s="4" t="s">
        <v>594</v>
      </c>
      <c r="L40" s="4" t="s">
        <v>286</v>
      </c>
      <c r="M40" s="7" t="s">
        <v>27</v>
      </c>
      <c r="N40" s="4" t="s">
        <v>287</v>
      </c>
      <c r="O40" s="19" t="s">
        <v>697</v>
      </c>
      <c r="P40" s="19" t="s">
        <v>698</v>
      </c>
      <c r="Q40" s="19" t="s">
        <v>699</v>
      </c>
      <c r="R40" s="19" t="s">
        <v>700</v>
      </c>
    </row>
    <row r="41" spans="1:18" ht="86.4" x14ac:dyDescent="0.3">
      <c r="A41" s="3" t="s">
        <v>288</v>
      </c>
      <c r="B41" s="4" t="s">
        <v>289</v>
      </c>
      <c r="C41" s="4" t="s">
        <v>290</v>
      </c>
      <c r="D41" s="4" t="s">
        <v>19</v>
      </c>
      <c r="E41" s="4" t="s">
        <v>291</v>
      </c>
      <c r="F41" s="5" t="s">
        <v>66</v>
      </c>
      <c r="G41" s="5" t="s">
        <v>292</v>
      </c>
      <c r="H41" s="5" t="s">
        <v>293</v>
      </c>
      <c r="I41" s="5" t="s">
        <v>294</v>
      </c>
      <c r="J41" s="4" t="s">
        <v>24</v>
      </c>
      <c r="K41" s="6" t="s">
        <v>25</v>
      </c>
      <c r="L41" s="6" t="s">
        <v>26</v>
      </c>
      <c r="M41" s="7" t="s">
        <v>27</v>
      </c>
      <c r="N41" s="4" t="s">
        <v>28</v>
      </c>
      <c r="O41" s="19" t="s">
        <v>636</v>
      </c>
      <c r="P41" s="19" t="s">
        <v>637</v>
      </c>
      <c r="Q41" s="19" t="s">
        <v>637</v>
      </c>
      <c r="R41" s="19" t="s">
        <v>637</v>
      </c>
    </row>
    <row r="42" spans="1:18" ht="86.4" x14ac:dyDescent="0.3">
      <c r="A42" s="3" t="s">
        <v>295</v>
      </c>
      <c r="B42" s="4" t="s">
        <v>289</v>
      </c>
      <c r="C42" s="4" t="s">
        <v>296</v>
      </c>
      <c r="D42" s="4" t="s">
        <v>19</v>
      </c>
      <c r="E42" s="4" t="s">
        <v>297</v>
      </c>
      <c r="F42" s="5" t="s">
        <v>66</v>
      </c>
      <c r="G42" s="5" t="s">
        <v>292</v>
      </c>
      <c r="H42" s="5" t="s">
        <v>298</v>
      </c>
      <c r="I42" s="5" t="s">
        <v>299</v>
      </c>
      <c r="J42" s="4" t="s">
        <v>24</v>
      </c>
      <c r="K42" s="6" t="s">
        <v>25</v>
      </c>
      <c r="L42" s="6" t="s">
        <v>26</v>
      </c>
      <c r="M42" s="7" t="s">
        <v>27</v>
      </c>
      <c r="N42" s="4" t="s">
        <v>28</v>
      </c>
      <c r="O42" s="19" t="s">
        <v>636</v>
      </c>
      <c r="P42" s="19" t="s">
        <v>637</v>
      </c>
      <c r="Q42" s="19" t="s">
        <v>637</v>
      </c>
      <c r="R42" s="19" t="s">
        <v>637</v>
      </c>
    </row>
    <row r="43" spans="1:18" ht="86.4" x14ac:dyDescent="0.3">
      <c r="A43" s="3" t="s">
        <v>300</v>
      </c>
      <c r="B43" s="4" t="s">
        <v>301</v>
      </c>
      <c r="C43" s="4" t="s">
        <v>302</v>
      </c>
      <c r="D43" s="4" t="s">
        <v>19</v>
      </c>
      <c r="E43" s="4" t="s">
        <v>303</v>
      </c>
      <c r="F43" s="5" t="s">
        <v>101</v>
      </c>
      <c r="G43" s="5" t="s">
        <v>304</v>
      </c>
      <c r="H43" s="4" t="s">
        <v>305</v>
      </c>
      <c r="I43" s="5" t="s">
        <v>35</v>
      </c>
      <c r="J43" s="4" t="s">
        <v>24</v>
      </c>
      <c r="K43" s="6" t="s">
        <v>25</v>
      </c>
      <c r="L43" s="6" t="s">
        <v>26</v>
      </c>
      <c r="M43" s="7" t="s">
        <v>27</v>
      </c>
      <c r="N43" s="4" t="s">
        <v>51</v>
      </c>
      <c r="O43" s="19" t="s">
        <v>636</v>
      </c>
      <c r="P43" s="19" t="s">
        <v>637</v>
      </c>
      <c r="Q43" s="19" t="s">
        <v>637</v>
      </c>
      <c r="R43" s="19" t="s">
        <v>637</v>
      </c>
    </row>
    <row r="44" spans="1:18" ht="86.4" x14ac:dyDescent="0.3">
      <c r="A44" s="3" t="s">
        <v>306</v>
      </c>
      <c r="B44" s="4" t="s">
        <v>307</v>
      </c>
      <c r="C44" s="4" t="s">
        <v>308</v>
      </c>
      <c r="D44" s="4" t="s">
        <v>91</v>
      </c>
      <c r="E44" s="4" t="s">
        <v>309</v>
      </c>
      <c r="F44" s="5" t="s">
        <v>21</v>
      </c>
      <c r="G44" s="5" t="s">
        <v>310</v>
      </c>
      <c r="H44" s="5" t="s">
        <v>311</v>
      </c>
      <c r="I44" s="5" t="s">
        <v>35</v>
      </c>
      <c r="J44" s="4" t="s">
        <v>24</v>
      </c>
      <c r="K44" s="6" t="s">
        <v>25</v>
      </c>
      <c r="L44" s="6" t="s">
        <v>26</v>
      </c>
      <c r="M44" s="7" t="s">
        <v>27</v>
      </c>
      <c r="N44" s="4" t="s">
        <v>51</v>
      </c>
      <c r="O44" s="19" t="s">
        <v>636</v>
      </c>
      <c r="P44" s="19" t="s">
        <v>637</v>
      </c>
      <c r="Q44" s="19" t="s">
        <v>637</v>
      </c>
      <c r="R44" s="19" t="s">
        <v>637</v>
      </c>
    </row>
    <row r="45" spans="1:18" ht="86.4" x14ac:dyDescent="0.3">
      <c r="A45" s="3" t="s">
        <v>312</v>
      </c>
      <c r="B45" s="4" t="s">
        <v>263</v>
      </c>
      <c r="C45" s="4" t="s">
        <v>313</v>
      </c>
      <c r="D45" s="4" t="s">
        <v>19</v>
      </c>
      <c r="E45" s="4" t="s">
        <v>314</v>
      </c>
      <c r="F45" s="5" t="s">
        <v>66</v>
      </c>
      <c r="G45" s="5" t="s">
        <v>315</v>
      </c>
      <c r="H45" s="5" t="s">
        <v>316</v>
      </c>
      <c r="I45" s="5" t="s">
        <v>35</v>
      </c>
      <c r="J45" s="4" t="s">
        <v>24</v>
      </c>
      <c r="K45" s="6" t="s">
        <v>25</v>
      </c>
      <c r="L45" s="6" t="s">
        <v>26</v>
      </c>
      <c r="M45" s="7" t="s">
        <v>27</v>
      </c>
      <c r="N45" s="4" t="s">
        <v>110</v>
      </c>
      <c r="O45" s="19" t="s">
        <v>636</v>
      </c>
      <c r="P45" s="19" t="s">
        <v>637</v>
      </c>
      <c r="Q45" s="19" t="s">
        <v>637</v>
      </c>
      <c r="R45" s="19" t="s">
        <v>637</v>
      </c>
    </row>
    <row r="46" spans="1:18" ht="86.4" x14ac:dyDescent="0.3">
      <c r="A46" s="3" t="s">
        <v>317</v>
      </c>
      <c r="B46" s="4" t="s">
        <v>318</v>
      </c>
      <c r="C46" s="4" t="s">
        <v>319</v>
      </c>
      <c r="D46" s="4" t="s">
        <v>19</v>
      </c>
      <c r="E46" s="4" t="s">
        <v>320</v>
      </c>
      <c r="F46" s="5" t="s">
        <v>321</v>
      </c>
      <c r="G46" s="5" t="s">
        <v>322</v>
      </c>
      <c r="H46" s="5" t="s">
        <v>323</v>
      </c>
      <c r="I46" s="5" t="s">
        <v>35</v>
      </c>
      <c r="J46" s="4" t="s">
        <v>24</v>
      </c>
      <c r="K46" s="6" t="s">
        <v>25</v>
      </c>
      <c r="L46" s="6" t="s">
        <v>26</v>
      </c>
      <c r="M46" s="7" t="s">
        <v>27</v>
      </c>
      <c r="N46" s="4" t="s">
        <v>324</v>
      </c>
      <c r="O46" s="19" t="s">
        <v>636</v>
      </c>
      <c r="P46" s="19" t="s">
        <v>637</v>
      </c>
      <c r="Q46" s="19" t="s">
        <v>637</v>
      </c>
      <c r="R46" s="19" t="s">
        <v>637</v>
      </c>
    </row>
    <row r="47" spans="1:18" ht="86.4" x14ac:dyDescent="0.3">
      <c r="A47" s="3" t="s">
        <v>325</v>
      </c>
      <c r="B47" s="4" t="s">
        <v>318</v>
      </c>
      <c r="C47" s="4" t="s">
        <v>326</v>
      </c>
      <c r="D47" s="4" t="s">
        <v>19</v>
      </c>
      <c r="E47" s="4" t="s">
        <v>327</v>
      </c>
      <c r="F47" s="5" t="s">
        <v>321</v>
      </c>
      <c r="G47" s="5" t="s">
        <v>322</v>
      </c>
      <c r="H47" s="5" t="s">
        <v>328</v>
      </c>
      <c r="I47" s="5" t="s">
        <v>35</v>
      </c>
      <c r="J47" s="4" t="s">
        <v>24</v>
      </c>
      <c r="K47" s="6" t="s">
        <v>25</v>
      </c>
      <c r="L47" s="6" t="s">
        <v>26</v>
      </c>
      <c r="M47" s="7" t="s">
        <v>27</v>
      </c>
      <c r="N47" s="4" t="s">
        <v>51</v>
      </c>
      <c r="O47" s="19" t="s">
        <v>636</v>
      </c>
      <c r="P47" s="19" t="s">
        <v>637</v>
      </c>
      <c r="Q47" s="19" t="s">
        <v>637</v>
      </c>
      <c r="R47" s="19" t="s">
        <v>637</v>
      </c>
    </row>
    <row r="48" spans="1:18" ht="86.4" x14ac:dyDescent="0.3">
      <c r="A48" s="3" t="s">
        <v>329</v>
      </c>
      <c r="B48" s="4" t="s">
        <v>318</v>
      </c>
      <c r="C48" s="4" t="s">
        <v>330</v>
      </c>
      <c r="D48" s="4" t="s">
        <v>19</v>
      </c>
      <c r="E48" s="4" t="s">
        <v>331</v>
      </c>
      <c r="F48" s="5" t="s">
        <v>66</v>
      </c>
      <c r="G48" s="5" t="s">
        <v>332</v>
      </c>
      <c r="H48" s="5" t="s">
        <v>333</v>
      </c>
      <c r="I48" s="5" t="s">
        <v>35</v>
      </c>
      <c r="J48" s="4" t="s">
        <v>24</v>
      </c>
      <c r="K48" s="6" t="s">
        <v>25</v>
      </c>
      <c r="L48" s="6" t="s">
        <v>26</v>
      </c>
      <c r="M48" s="7" t="s">
        <v>27</v>
      </c>
      <c r="N48" s="4" t="s">
        <v>334</v>
      </c>
      <c r="O48" s="19" t="s">
        <v>636</v>
      </c>
      <c r="P48" s="19" t="s">
        <v>637</v>
      </c>
      <c r="Q48" s="19" t="s">
        <v>637</v>
      </c>
      <c r="R48" s="19" t="s">
        <v>637</v>
      </c>
    </row>
    <row r="49" spans="1:18" ht="86.4" x14ac:dyDescent="0.3">
      <c r="A49" s="3" t="s">
        <v>335</v>
      </c>
      <c r="B49" s="4" t="s">
        <v>318</v>
      </c>
      <c r="C49" s="4" t="s">
        <v>336</v>
      </c>
      <c r="D49" s="4" t="s">
        <v>91</v>
      </c>
      <c r="E49" s="4" t="s">
        <v>337</v>
      </c>
      <c r="F49" s="5" t="s">
        <v>66</v>
      </c>
      <c r="G49" s="5" t="s">
        <v>338</v>
      </c>
      <c r="H49" s="5" t="s">
        <v>339</v>
      </c>
      <c r="I49" s="5" t="s">
        <v>35</v>
      </c>
      <c r="J49" s="4" t="s">
        <v>24</v>
      </c>
      <c r="K49" s="6" t="s">
        <v>25</v>
      </c>
      <c r="L49" s="6" t="s">
        <v>26</v>
      </c>
      <c r="M49" s="8" t="s">
        <v>340</v>
      </c>
      <c r="N49" s="4" t="s">
        <v>341</v>
      </c>
      <c r="O49" s="19" t="s">
        <v>636</v>
      </c>
      <c r="P49" s="19" t="s">
        <v>637</v>
      </c>
      <c r="Q49" s="19" t="s">
        <v>637</v>
      </c>
      <c r="R49" s="19" t="s">
        <v>637</v>
      </c>
    </row>
    <row r="50" spans="1:18" ht="86.4" x14ac:dyDescent="0.3">
      <c r="A50" s="3" t="s">
        <v>342</v>
      </c>
      <c r="B50" s="4" t="s">
        <v>318</v>
      </c>
      <c r="C50" s="4" t="s">
        <v>343</v>
      </c>
      <c r="D50" s="4" t="s">
        <v>91</v>
      </c>
      <c r="E50" s="4" t="s">
        <v>344</v>
      </c>
      <c r="F50" s="5" t="s">
        <v>172</v>
      </c>
      <c r="G50" s="5" t="s">
        <v>345</v>
      </c>
      <c r="H50" s="5" t="s">
        <v>346</v>
      </c>
      <c r="I50" s="5" t="s">
        <v>35</v>
      </c>
      <c r="J50" s="4" t="s">
        <v>24</v>
      </c>
      <c r="K50" s="6" t="s">
        <v>25</v>
      </c>
      <c r="L50" s="6" t="s">
        <v>26</v>
      </c>
      <c r="M50" s="7" t="s">
        <v>27</v>
      </c>
      <c r="N50" s="4" t="s">
        <v>51</v>
      </c>
      <c r="O50" s="19" t="s">
        <v>636</v>
      </c>
      <c r="P50" s="19" t="s">
        <v>637</v>
      </c>
      <c r="Q50" s="19" t="s">
        <v>637</v>
      </c>
      <c r="R50" s="19" t="s">
        <v>637</v>
      </c>
    </row>
    <row r="51" spans="1:18" ht="86.4" x14ac:dyDescent="0.3">
      <c r="A51" s="3" t="s">
        <v>347</v>
      </c>
      <c r="B51" s="4" t="s">
        <v>348</v>
      </c>
      <c r="C51" s="4" t="s">
        <v>349</v>
      </c>
      <c r="D51" s="4" t="s">
        <v>19</v>
      </c>
      <c r="E51" s="4" t="s">
        <v>350</v>
      </c>
      <c r="F51" s="5" t="s">
        <v>21</v>
      </c>
      <c r="G51" s="5" t="s">
        <v>351</v>
      </c>
      <c r="H51" s="5" t="s">
        <v>352</v>
      </c>
      <c r="I51" s="5" t="s">
        <v>35</v>
      </c>
      <c r="J51" s="4" t="s">
        <v>24</v>
      </c>
      <c r="K51" s="6" t="s">
        <v>25</v>
      </c>
      <c r="L51" s="6" t="s">
        <v>26</v>
      </c>
      <c r="M51" s="7" t="s">
        <v>27</v>
      </c>
      <c r="N51" s="4" t="s">
        <v>353</v>
      </c>
      <c r="O51" s="19" t="s">
        <v>636</v>
      </c>
      <c r="P51" s="19" t="s">
        <v>637</v>
      </c>
      <c r="Q51" s="19" t="s">
        <v>637</v>
      </c>
      <c r="R51" s="19" t="s">
        <v>637</v>
      </c>
    </row>
    <row r="52" spans="1:18" ht="86.4" x14ac:dyDescent="0.3">
      <c r="A52" s="3" t="s">
        <v>354</v>
      </c>
      <c r="B52" s="4" t="s">
        <v>355</v>
      </c>
      <c r="C52" s="4" t="s">
        <v>356</v>
      </c>
      <c r="D52" s="4" t="s">
        <v>91</v>
      </c>
      <c r="E52" s="4" t="s">
        <v>357</v>
      </c>
      <c r="F52" s="5" t="s">
        <v>66</v>
      </c>
      <c r="G52" s="5" t="s">
        <v>358</v>
      </c>
      <c r="H52" s="5" t="s">
        <v>359</v>
      </c>
      <c r="I52" s="5" t="s">
        <v>35</v>
      </c>
      <c r="J52" s="4" t="s">
        <v>24</v>
      </c>
      <c r="K52" s="6" t="s">
        <v>25</v>
      </c>
      <c r="L52" s="6" t="s">
        <v>26</v>
      </c>
      <c r="M52" s="8" t="s">
        <v>360</v>
      </c>
      <c r="N52" s="4" t="s">
        <v>361</v>
      </c>
      <c r="O52" s="19" t="s">
        <v>636</v>
      </c>
      <c r="P52" s="19" t="s">
        <v>637</v>
      </c>
      <c r="Q52" s="19" t="s">
        <v>637</v>
      </c>
      <c r="R52" s="19" t="s">
        <v>637</v>
      </c>
    </row>
    <row r="53" spans="1:18" ht="86.4" x14ac:dyDescent="0.3">
      <c r="A53" s="3" t="s">
        <v>362</v>
      </c>
      <c r="B53" s="4" t="s">
        <v>363</v>
      </c>
      <c r="C53" s="4" t="s">
        <v>364</v>
      </c>
      <c r="D53" s="4" t="s">
        <v>19</v>
      </c>
      <c r="E53" s="4" t="s">
        <v>365</v>
      </c>
      <c r="F53" s="5" t="s">
        <v>21</v>
      </c>
      <c r="G53" s="5" t="s">
        <v>366</v>
      </c>
      <c r="H53" s="5" t="s">
        <v>367</v>
      </c>
      <c r="I53" s="5" t="s">
        <v>35</v>
      </c>
      <c r="J53" s="4" t="s">
        <v>24</v>
      </c>
      <c r="K53" s="6" t="s">
        <v>25</v>
      </c>
      <c r="L53" s="6" t="s">
        <v>26</v>
      </c>
      <c r="M53" s="7" t="s">
        <v>27</v>
      </c>
      <c r="N53" s="4" t="s">
        <v>51</v>
      </c>
      <c r="O53" s="19" t="s">
        <v>636</v>
      </c>
      <c r="P53" s="19" t="s">
        <v>637</v>
      </c>
      <c r="Q53" s="19" t="s">
        <v>637</v>
      </c>
      <c r="R53" s="19" t="s">
        <v>637</v>
      </c>
    </row>
    <row r="54" spans="1:18" ht="86.4" x14ac:dyDescent="0.3">
      <c r="A54" s="3" t="s">
        <v>368</v>
      </c>
      <c r="B54" s="4" t="s">
        <v>369</v>
      </c>
      <c r="C54" s="4" t="s">
        <v>370</v>
      </c>
      <c r="D54" s="4" t="s">
        <v>91</v>
      </c>
      <c r="E54" s="4" t="s">
        <v>371</v>
      </c>
      <c r="F54" s="5" t="s">
        <v>75</v>
      </c>
      <c r="G54" s="5" t="s">
        <v>372</v>
      </c>
      <c r="H54" s="4" t="s">
        <v>373</v>
      </c>
      <c r="I54" s="5" t="s">
        <v>35</v>
      </c>
      <c r="J54" s="4" t="s">
        <v>24</v>
      </c>
      <c r="K54" s="6" t="s">
        <v>25</v>
      </c>
      <c r="L54" s="6" t="s">
        <v>26</v>
      </c>
      <c r="M54" s="7" t="s">
        <v>27</v>
      </c>
      <c r="N54" s="4" t="s">
        <v>51</v>
      </c>
      <c r="O54" s="19" t="s">
        <v>636</v>
      </c>
      <c r="P54" s="19" t="s">
        <v>637</v>
      </c>
      <c r="Q54" s="19" t="s">
        <v>637</v>
      </c>
      <c r="R54" s="19" t="s">
        <v>637</v>
      </c>
    </row>
    <row r="55" spans="1:18" ht="86.4" x14ac:dyDescent="0.3">
      <c r="A55" s="3" t="s">
        <v>374</v>
      </c>
      <c r="B55" s="4" t="s">
        <v>375</v>
      </c>
      <c r="C55" s="4" t="s">
        <v>376</v>
      </c>
      <c r="D55" s="4" t="s">
        <v>19</v>
      </c>
      <c r="E55" s="4" t="s">
        <v>377</v>
      </c>
      <c r="F55" s="5" t="s">
        <v>378</v>
      </c>
      <c r="G55" s="5" t="s">
        <v>379</v>
      </c>
      <c r="H55" s="5" t="s">
        <v>380</v>
      </c>
      <c r="I55" s="5" t="s">
        <v>35</v>
      </c>
      <c r="J55" s="4" t="s">
        <v>381</v>
      </c>
      <c r="K55" s="6" t="s">
        <v>25</v>
      </c>
      <c r="L55" s="6" t="s">
        <v>26</v>
      </c>
      <c r="M55" s="5" t="s">
        <v>382</v>
      </c>
      <c r="N55" s="4" t="s">
        <v>383</v>
      </c>
      <c r="O55" s="19" t="s">
        <v>636</v>
      </c>
      <c r="P55" s="19" t="s">
        <v>637</v>
      </c>
      <c r="Q55" s="19" t="s">
        <v>637</v>
      </c>
      <c r="R55" s="19" t="s">
        <v>637</v>
      </c>
    </row>
    <row r="56" spans="1:18" ht="86.4" x14ac:dyDescent="0.3">
      <c r="A56" s="3" t="s">
        <v>384</v>
      </c>
      <c r="B56" s="4" t="s">
        <v>385</v>
      </c>
      <c r="C56" s="4" t="s">
        <v>386</v>
      </c>
      <c r="D56" s="4" t="s">
        <v>19</v>
      </c>
      <c r="E56" s="4" t="s">
        <v>387</v>
      </c>
      <c r="F56" s="5" t="s">
        <v>388</v>
      </c>
      <c r="G56" s="5" t="s">
        <v>389</v>
      </c>
      <c r="H56" s="5" t="s">
        <v>390</v>
      </c>
      <c r="I56" s="5" t="s">
        <v>35</v>
      </c>
      <c r="J56" s="4" t="s">
        <v>24</v>
      </c>
      <c r="K56" s="6" t="s">
        <v>25</v>
      </c>
      <c r="L56" s="6" t="s">
        <v>26</v>
      </c>
      <c r="M56" s="7" t="s">
        <v>27</v>
      </c>
      <c r="N56" s="4" t="s">
        <v>391</v>
      </c>
      <c r="O56" s="19" t="s">
        <v>636</v>
      </c>
      <c r="P56" s="19" t="s">
        <v>637</v>
      </c>
      <c r="Q56" s="19" t="s">
        <v>637</v>
      </c>
      <c r="R56" s="19" t="s">
        <v>637</v>
      </c>
    </row>
    <row r="57" spans="1:18" ht="86.4" x14ac:dyDescent="0.3">
      <c r="A57" s="3" t="s">
        <v>392</v>
      </c>
      <c r="B57" s="4" t="s">
        <v>393</v>
      </c>
      <c r="C57" s="4" t="s">
        <v>394</v>
      </c>
      <c r="D57" s="4" t="s">
        <v>19</v>
      </c>
      <c r="E57" s="4" t="s">
        <v>395</v>
      </c>
      <c r="F57" s="5" t="s">
        <v>378</v>
      </c>
      <c r="G57" s="5" t="s">
        <v>396</v>
      </c>
      <c r="H57" s="5" t="s">
        <v>397</v>
      </c>
      <c r="I57" s="5" t="s">
        <v>35</v>
      </c>
      <c r="J57" s="4" t="s">
        <v>24</v>
      </c>
      <c r="K57" s="6" t="s">
        <v>25</v>
      </c>
      <c r="L57" s="6" t="s">
        <v>26</v>
      </c>
      <c r="M57" s="7" t="s">
        <v>27</v>
      </c>
      <c r="N57" s="4" t="s">
        <v>51</v>
      </c>
      <c r="O57" s="19" t="s">
        <v>636</v>
      </c>
      <c r="P57" s="19" t="s">
        <v>637</v>
      </c>
      <c r="Q57" s="19" t="s">
        <v>637</v>
      </c>
      <c r="R57" s="19" t="s">
        <v>637</v>
      </c>
    </row>
    <row r="58" spans="1:18" ht="129.6" x14ac:dyDescent="0.3">
      <c r="A58" s="3" t="s">
        <v>398</v>
      </c>
      <c r="B58" s="4" t="s">
        <v>399</v>
      </c>
      <c r="C58" s="4" t="s">
        <v>400</v>
      </c>
      <c r="D58" s="4" t="s">
        <v>19</v>
      </c>
      <c r="E58" s="4" t="s">
        <v>401</v>
      </c>
      <c r="F58" s="5" t="s">
        <v>101</v>
      </c>
      <c r="G58" s="5" t="s">
        <v>402</v>
      </c>
      <c r="H58" s="4" t="s">
        <v>403</v>
      </c>
      <c r="I58" s="5" t="s">
        <v>606</v>
      </c>
      <c r="J58" s="4" t="s">
        <v>24</v>
      </c>
      <c r="K58" s="4" t="s">
        <v>607</v>
      </c>
      <c r="L58" s="4" t="s">
        <v>608</v>
      </c>
      <c r="M58" s="5" t="s">
        <v>404</v>
      </c>
      <c r="N58" s="4" t="s">
        <v>609</v>
      </c>
      <c r="O58" s="19" t="s">
        <v>701</v>
      </c>
      <c r="P58" s="19" t="s">
        <v>702</v>
      </c>
      <c r="Q58" s="19" t="s">
        <v>644</v>
      </c>
      <c r="R58" s="19" t="s">
        <v>703</v>
      </c>
    </row>
    <row r="59" spans="1:18" ht="86.4" x14ac:dyDescent="0.3">
      <c r="A59" s="3" t="s">
        <v>405</v>
      </c>
      <c r="B59" s="4" t="s">
        <v>406</v>
      </c>
      <c r="C59" s="4" t="s">
        <v>407</v>
      </c>
      <c r="D59" s="4" t="s">
        <v>91</v>
      </c>
      <c r="E59" s="4" t="s">
        <v>408</v>
      </c>
      <c r="F59" s="5" t="s">
        <v>378</v>
      </c>
      <c r="G59" s="5" t="s">
        <v>409</v>
      </c>
      <c r="H59" s="5" t="s">
        <v>410</v>
      </c>
      <c r="I59" s="5" t="s">
        <v>35</v>
      </c>
      <c r="J59" s="4" t="s">
        <v>411</v>
      </c>
      <c r="K59" s="6" t="s">
        <v>25</v>
      </c>
      <c r="L59" s="6" t="s">
        <v>26</v>
      </c>
      <c r="M59" s="5" t="s">
        <v>412</v>
      </c>
      <c r="N59" s="4" t="s">
        <v>413</v>
      </c>
      <c r="O59" s="19" t="s">
        <v>636</v>
      </c>
      <c r="P59" s="19" t="s">
        <v>637</v>
      </c>
      <c r="Q59" s="19" t="s">
        <v>637</v>
      </c>
      <c r="R59" s="19" t="s">
        <v>637</v>
      </c>
    </row>
    <row r="60" spans="1:18" ht="129.6" x14ac:dyDescent="0.3">
      <c r="A60" s="3" t="s">
        <v>414</v>
      </c>
      <c r="B60" s="4" t="s">
        <v>415</v>
      </c>
      <c r="C60" s="4" t="s">
        <v>416</v>
      </c>
      <c r="D60" s="4" t="s">
        <v>185</v>
      </c>
      <c r="E60" s="4" t="s">
        <v>417</v>
      </c>
      <c r="F60" s="5" t="s">
        <v>388</v>
      </c>
      <c r="G60" s="5" t="s">
        <v>610</v>
      </c>
      <c r="H60" s="5" t="s">
        <v>418</v>
      </c>
      <c r="I60" s="5" t="s">
        <v>611</v>
      </c>
      <c r="J60" s="4" t="s">
        <v>419</v>
      </c>
      <c r="K60" s="4" t="s">
        <v>612</v>
      </c>
      <c r="L60" s="4" t="s">
        <v>613</v>
      </c>
      <c r="M60" s="7" t="s">
        <v>27</v>
      </c>
      <c r="N60" s="4" t="s">
        <v>614</v>
      </c>
      <c r="O60" s="19" t="s">
        <v>704</v>
      </c>
      <c r="P60" s="19" t="s">
        <v>705</v>
      </c>
      <c r="Q60" s="19" t="s">
        <v>706</v>
      </c>
      <c r="R60" s="19" t="s">
        <v>707</v>
      </c>
    </row>
    <row r="61" spans="1:18" ht="86.4" x14ac:dyDescent="0.3">
      <c r="A61" s="3" t="s">
        <v>420</v>
      </c>
      <c r="B61" s="4" t="s">
        <v>421</v>
      </c>
      <c r="C61" s="4" t="s">
        <v>422</v>
      </c>
      <c r="D61" s="4" t="s">
        <v>19</v>
      </c>
      <c r="E61" s="4" t="s">
        <v>423</v>
      </c>
      <c r="F61" s="5" t="s">
        <v>172</v>
      </c>
      <c r="G61" s="5" t="s">
        <v>424</v>
      </c>
      <c r="H61" s="5" t="s">
        <v>425</v>
      </c>
      <c r="I61" s="5" t="s">
        <v>35</v>
      </c>
      <c r="J61" s="4" t="s">
        <v>24</v>
      </c>
      <c r="K61" s="6" t="s">
        <v>25</v>
      </c>
      <c r="L61" s="6" t="s">
        <v>26</v>
      </c>
      <c r="M61" s="7" t="s">
        <v>426</v>
      </c>
      <c r="N61" s="4" t="s">
        <v>427</v>
      </c>
      <c r="O61" s="19" t="s">
        <v>636</v>
      </c>
      <c r="P61" s="19" t="s">
        <v>637</v>
      </c>
      <c r="Q61" s="19" t="s">
        <v>637</v>
      </c>
      <c r="R61" s="19" t="s">
        <v>637</v>
      </c>
    </row>
    <row r="62" spans="1:18" ht="86.4" x14ac:dyDescent="0.3">
      <c r="A62" s="3" t="s">
        <v>428</v>
      </c>
      <c r="B62" s="4" t="s">
        <v>429</v>
      </c>
      <c r="C62" s="4" t="s">
        <v>430</v>
      </c>
      <c r="D62" s="4" t="s">
        <v>19</v>
      </c>
      <c r="E62" s="4" t="s">
        <v>431</v>
      </c>
      <c r="F62" s="5" t="s">
        <v>172</v>
      </c>
      <c r="G62" s="5" t="s">
        <v>432</v>
      </c>
      <c r="H62" s="5" t="s">
        <v>433</v>
      </c>
      <c r="I62" s="5" t="s">
        <v>35</v>
      </c>
      <c r="J62" s="4" t="s">
        <v>24</v>
      </c>
      <c r="K62" s="6" t="s">
        <v>25</v>
      </c>
      <c r="L62" s="6" t="s">
        <v>26</v>
      </c>
      <c r="M62" s="5" t="s">
        <v>434</v>
      </c>
      <c r="N62" s="4" t="s">
        <v>435</v>
      </c>
      <c r="O62" s="19" t="s">
        <v>636</v>
      </c>
      <c r="P62" s="19" t="s">
        <v>637</v>
      </c>
      <c r="Q62" s="19" t="s">
        <v>637</v>
      </c>
      <c r="R62" s="19" t="s">
        <v>637</v>
      </c>
    </row>
    <row r="63" spans="1:18" ht="86.4" x14ac:dyDescent="0.3">
      <c r="A63" s="3" t="s">
        <v>436</v>
      </c>
      <c r="B63" s="4" t="s">
        <v>437</v>
      </c>
      <c r="C63" s="4" t="s">
        <v>438</v>
      </c>
      <c r="D63" s="4" t="s">
        <v>91</v>
      </c>
      <c r="E63" s="4" t="s">
        <v>439</v>
      </c>
      <c r="F63" s="5" t="s">
        <v>388</v>
      </c>
      <c r="G63" s="5" t="s">
        <v>440</v>
      </c>
      <c r="H63" s="5" t="s">
        <v>441</v>
      </c>
      <c r="I63" s="5" t="s">
        <v>35</v>
      </c>
      <c r="J63" s="4" t="s">
        <v>24</v>
      </c>
      <c r="K63" s="6" t="s">
        <v>25</v>
      </c>
      <c r="L63" s="6" t="s">
        <v>26</v>
      </c>
      <c r="M63" s="7" t="s">
        <v>27</v>
      </c>
      <c r="N63" s="4" t="s">
        <v>51</v>
      </c>
      <c r="O63" s="19" t="s">
        <v>636</v>
      </c>
      <c r="P63" s="19" t="s">
        <v>637</v>
      </c>
      <c r="Q63" s="19" t="s">
        <v>637</v>
      </c>
      <c r="R63" s="19" t="s">
        <v>637</v>
      </c>
    </row>
    <row r="64" spans="1:18" ht="100.8" x14ac:dyDescent="0.3">
      <c r="A64" s="3" t="s">
        <v>442</v>
      </c>
      <c r="B64" s="4" t="s">
        <v>443</v>
      </c>
      <c r="C64" s="4" t="s">
        <v>444</v>
      </c>
      <c r="D64" s="4" t="s">
        <v>19</v>
      </c>
      <c r="E64" s="4" t="s">
        <v>445</v>
      </c>
      <c r="F64" s="5" t="s">
        <v>172</v>
      </c>
      <c r="G64" s="5" t="s">
        <v>446</v>
      </c>
      <c r="H64" s="5" t="s">
        <v>447</v>
      </c>
      <c r="I64" s="5" t="s">
        <v>35</v>
      </c>
      <c r="J64" s="4" t="s">
        <v>24</v>
      </c>
      <c r="K64" s="6" t="s">
        <v>25</v>
      </c>
      <c r="L64" s="6" t="s">
        <v>26</v>
      </c>
      <c r="M64" s="7" t="s">
        <v>426</v>
      </c>
      <c r="N64" s="4" t="s">
        <v>448</v>
      </c>
      <c r="O64" s="19" t="s">
        <v>708</v>
      </c>
      <c r="P64" s="19" t="s">
        <v>709</v>
      </c>
      <c r="Q64" s="19" t="s">
        <v>710</v>
      </c>
      <c r="R64" s="19" t="s">
        <v>711</v>
      </c>
    </row>
    <row r="65" spans="1:18" ht="86.4" x14ac:dyDescent="0.3">
      <c r="A65" s="3" t="s">
        <v>449</v>
      </c>
      <c r="B65" s="4" t="s">
        <v>450</v>
      </c>
      <c r="C65" s="4" t="s">
        <v>451</v>
      </c>
      <c r="D65" s="4" t="s">
        <v>91</v>
      </c>
      <c r="E65" s="4" t="s">
        <v>452</v>
      </c>
      <c r="F65" s="5" t="s">
        <v>378</v>
      </c>
      <c r="G65" s="5" t="s">
        <v>453</v>
      </c>
      <c r="H65" s="5" t="s">
        <v>454</v>
      </c>
      <c r="I65" s="5" t="s">
        <v>35</v>
      </c>
      <c r="J65" s="4" t="s">
        <v>24</v>
      </c>
      <c r="K65" s="6" t="s">
        <v>25</v>
      </c>
      <c r="L65" s="6" t="s">
        <v>26</v>
      </c>
      <c r="M65" s="5" t="s">
        <v>455</v>
      </c>
      <c r="N65" s="4" t="s">
        <v>456</v>
      </c>
      <c r="O65" s="19" t="s">
        <v>636</v>
      </c>
      <c r="P65" s="19" t="s">
        <v>637</v>
      </c>
      <c r="Q65" s="19" t="s">
        <v>637</v>
      </c>
      <c r="R65" s="19" t="s">
        <v>637</v>
      </c>
    </row>
    <row r="66" spans="1:18" ht="86.4" x14ac:dyDescent="0.3">
      <c r="A66" s="3" t="s">
        <v>457</v>
      </c>
      <c r="B66" s="4" t="s">
        <v>458</v>
      </c>
      <c r="C66" s="4" t="s">
        <v>459</v>
      </c>
      <c r="D66" s="4" t="s">
        <v>19</v>
      </c>
      <c r="E66" s="4" t="s">
        <v>460</v>
      </c>
      <c r="F66" s="5" t="s">
        <v>388</v>
      </c>
      <c r="G66" s="5" t="s">
        <v>461</v>
      </c>
      <c r="H66" s="5" t="s">
        <v>462</v>
      </c>
      <c r="I66" s="5" t="s">
        <v>35</v>
      </c>
      <c r="J66" s="4" t="s">
        <v>24</v>
      </c>
      <c r="K66" s="6" t="s">
        <v>25</v>
      </c>
      <c r="L66" s="6" t="s">
        <v>26</v>
      </c>
      <c r="M66" s="7" t="s">
        <v>27</v>
      </c>
      <c r="N66" s="4" t="s">
        <v>51</v>
      </c>
      <c r="O66" s="19" t="s">
        <v>636</v>
      </c>
      <c r="P66" s="19" t="s">
        <v>637</v>
      </c>
      <c r="Q66" s="19" t="s">
        <v>637</v>
      </c>
      <c r="R66" s="19" t="s">
        <v>637</v>
      </c>
    </row>
    <row r="67" spans="1:18" ht="115.2" x14ac:dyDescent="0.3">
      <c r="A67" s="3" t="s">
        <v>463</v>
      </c>
      <c r="B67" s="4" t="s">
        <v>464</v>
      </c>
      <c r="C67" s="4" t="s">
        <v>465</v>
      </c>
      <c r="D67" s="4" t="s">
        <v>19</v>
      </c>
      <c r="E67" s="4" t="s">
        <v>466</v>
      </c>
      <c r="F67" s="5" t="s">
        <v>75</v>
      </c>
      <c r="G67" s="5" t="s">
        <v>467</v>
      </c>
      <c r="H67" s="4" t="s">
        <v>468</v>
      </c>
      <c r="I67" s="5" t="s">
        <v>35</v>
      </c>
      <c r="J67" s="4" t="s">
        <v>469</v>
      </c>
      <c r="K67" s="6" t="s">
        <v>25</v>
      </c>
      <c r="L67" s="6" t="s">
        <v>26</v>
      </c>
      <c r="M67" s="7" t="s">
        <v>27</v>
      </c>
      <c r="N67" s="4" t="s">
        <v>470</v>
      </c>
      <c r="O67" s="19" t="s">
        <v>712</v>
      </c>
      <c r="P67" s="19" t="s">
        <v>713</v>
      </c>
      <c r="Q67" s="19" t="s">
        <v>714</v>
      </c>
      <c r="R67" s="19" t="s">
        <v>715</v>
      </c>
    </row>
    <row r="68" spans="1:18" ht="175.95" customHeight="1" x14ac:dyDescent="0.3">
      <c r="A68" s="3" t="s">
        <v>471</v>
      </c>
      <c r="B68" s="4" t="s">
        <v>472</v>
      </c>
      <c r="C68" s="4" t="s">
        <v>473</v>
      </c>
      <c r="D68" s="4" t="s">
        <v>19</v>
      </c>
      <c r="E68" s="4" t="s">
        <v>474</v>
      </c>
      <c r="F68" s="5" t="s">
        <v>21</v>
      </c>
      <c r="G68" s="5" t="s">
        <v>475</v>
      </c>
      <c r="H68" s="5" t="s">
        <v>476</v>
      </c>
      <c r="I68" s="5" t="s">
        <v>477</v>
      </c>
      <c r="J68" s="4" t="s">
        <v>24</v>
      </c>
      <c r="K68" s="4" t="s">
        <v>595</v>
      </c>
      <c r="L68" s="4" t="s">
        <v>596</v>
      </c>
      <c r="M68" s="7" t="s">
        <v>27</v>
      </c>
      <c r="N68" s="4" t="s">
        <v>478</v>
      </c>
      <c r="O68" s="19" t="s">
        <v>716</v>
      </c>
      <c r="P68" s="19" t="s">
        <v>717</v>
      </c>
      <c r="Q68" s="19" t="s">
        <v>718</v>
      </c>
      <c r="R68" s="19" t="s">
        <v>719</v>
      </c>
    </row>
    <row r="69" spans="1:18" ht="91.2" customHeight="1" x14ac:dyDescent="0.3">
      <c r="A69" s="3" t="s">
        <v>479</v>
      </c>
      <c r="B69" s="4" t="s">
        <v>464</v>
      </c>
      <c r="C69" s="4" t="s">
        <v>480</v>
      </c>
      <c r="D69" s="4" t="s">
        <v>91</v>
      </c>
      <c r="E69" s="4" t="s">
        <v>481</v>
      </c>
      <c r="F69" s="5" t="s">
        <v>21</v>
      </c>
      <c r="G69" s="5" t="s">
        <v>615</v>
      </c>
      <c r="H69" s="5" t="s">
        <v>616</v>
      </c>
      <c r="I69" s="5" t="s">
        <v>617</v>
      </c>
      <c r="J69" s="4" t="s">
        <v>24</v>
      </c>
      <c r="K69" s="4" t="s">
        <v>618</v>
      </c>
      <c r="L69" s="4" t="s">
        <v>619</v>
      </c>
      <c r="M69" s="7" t="s">
        <v>27</v>
      </c>
      <c r="N69" s="4" t="s">
        <v>605</v>
      </c>
      <c r="O69" s="19" t="s">
        <v>720</v>
      </c>
      <c r="P69" s="19" t="s">
        <v>721</v>
      </c>
      <c r="Q69" s="19" t="s">
        <v>722</v>
      </c>
      <c r="R69" s="19" t="s">
        <v>723</v>
      </c>
    </row>
    <row r="70" spans="1:18" ht="72" x14ac:dyDescent="0.3">
      <c r="A70" s="3" t="s">
        <v>482</v>
      </c>
      <c r="B70" s="4" t="s">
        <v>483</v>
      </c>
      <c r="C70" s="4" t="s">
        <v>484</v>
      </c>
      <c r="D70" s="4" t="s">
        <v>19</v>
      </c>
      <c r="E70" s="4" t="s">
        <v>485</v>
      </c>
      <c r="F70" s="5" t="s">
        <v>378</v>
      </c>
      <c r="G70" s="5" t="s">
        <v>486</v>
      </c>
      <c r="H70" s="5" t="s">
        <v>487</v>
      </c>
      <c r="I70" s="5" t="s">
        <v>35</v>
      </c>
      <c r="J70" s="4" t="s">
        <v>488</v>
      </c>
      <c r="K70" s="6" t="s">
        <v>25</v>
      </c>
      <c r="L70" s="6" t="s">
        <v>26</v>
      </c>
      <c r="M70" s="7" t="s">
        <v>27</v>
      </c>
      <c r="N70" s="4" t="s">
        <v>470</v>
      </c>
      <c r="O70" s="19" t="s">
        <v>724</v>
      </c>
      <c r="P70" s="19" t="s">
        <v>725</v>
      </c>
      <c r="Q70" s="19" t="s">
        <v>726</v>
      </c>
      <c r="R70" s="19" t="s">
        <v>727</v>
      </c>
    </row>
    <row r="71" spans="1:18" ht="86.4" x14ac:dyDescent="0.3">
      <c r="A71" s="3" t="s">
        <v>489</v>
      </c>
      <c r="B71" s="4" t="s">
        <v>490</v>
      </c>
      <c r="C71" s="4" t="s">
        <v>491</v>
      </c>
      <c r="D71" s="4" t="s">
        <v>19</v>
      </c>
      <c r="E71" s="4" t="s">
        <v>492</v>
      </c>
      <c r="F71" s="5" t="s">
        <v>101</v>
      </c>
      <c r="G71" s="5" t="s">
        <v>493</v>
      </c>
      <c r="H71" s="5" t="s">
        <v>494</v>
      </c>
      <c r="I71" s="5" t="s">
        <v>35</v>
      </c>
      <c r="J71" s="4" t="s">
        <v>24</v>
      </c>
      <c r="K71" s="6" t="s">
        <v>25</v>
      </c>
      <c r="L71" s="6" t="s">
        <v>26</v>
      </c>
      <c r="M71" s="7" t="s">
        <v>27</v>
      </c>
      <c r="N71" s="4" t="s">
        <v>117</v>
      </c>
      <c r="O71" s="19" t="s">
        <v>636</v>
      </c>
      <c r="P71" s="19" t="s">
        <v>637</v>
      </c>
      <c r="Q71" s="19" t="s">
        <v>637</v>
      </c>
      <c r="R71" s="19" t="s">
        <v>637</v>
      </c>
    </row>
    <row r="72" spans="1:18" ht="100.8" x14ac:dyDescent="0.3">
      <c r="A72" s="3" t="s">
        <v>495</v>
      </c>
      <c r="B72" s="4" t="s">
        <v>496</v>
      </c>
      <c r="C72" s="4" t="s">
        <v>497</v>
      </c>
      <c r="D72" s="4" t="s">
        <v>19</v>
      </c>
      <c r="E72" s="4" t="s">
        <v>498</v>
      </c>
      <c r="F72" s="5" t="s">
        <v>499</v>
      </c>
      <c r="G72" s="5" t="s">
        <v>500</v>
      </c>
      <c r="H72" s="5" t="s">
        <v>501</v>
      </c>
      <c r="I72" s="5" t="s">
        <v>35</v>
      </c>
      <c r="J72" s="4" t="s">
        <v>24</v>
      </c>
      <c r="K72" s="6" t="s">
        <v>25</v>
      </c>
      <c r="L72" s="6" t="s">
        <v>26</v>
      </c>
      <c r="M72" s="7" t="s">
        <v>27</v>
      </c>
      <c r="N72" s="4" t="s">
        <v>51</v>
      </c>
      <c r="O72" s="19" t="s">
        <v>728</v>
      </c>
      <c r="P72" s="19" t="s">
        <v>729</v>
      </c>
      <c r="Q72" s="19" t="s">
        <v>730</v>
      </c>
      <c r="R72" s="19" t="s">
        <v>731</v>
      </c>
    </row>
    <row r="73" spans="1:18" ht="100.8" x14ac:dyDescent="0.3">
      <c r="A73" s="3" t="s">
        <v>502</v>
      </c>
      <c r="B73" s="4" t="s">
        <v>503</v>
      </c>
      <c r="C73" s="4" t="s">
        <v>504</v>
      </c>
      <c r="D73" s="4" t="s">
        <v>19</v>
      </c>
      <c r="E73" s="4" t="s">
        <v>505</v>
      </c>
      <c r="F73" s="5" t="s">
        <v>378</v>
      </c>
      <c r="G73" s="5" t="s">
        <v>506</v>
      </c>
      <c r="H73" s="4" t="s">
        <v>507</v>
      </c>
      <c r="I73" s="5" t="s">
        <v>35</v>
      </c>
      <c r="J73" s="4" t="s">
        <v>508</v>
      </c>
      <c r="K73" s="6" t="s">
        <v>25</v>
      </c>
      <c r="L73" s="6" t="s">
        <v>26</v>
      </c>
      <c r="M73" s="7" t="s">
        <v>27</v>
      </c>
      <c r="N73" s="4" t="s">
        <v>51</v>
      </c>
      <c r="O73" s="19" t="s">
        <v>732</v>
      </c>
      <c r="P73" s="19" t="s">
        <v>733</v>
      </c>
      <c r="Q73" s="19" t="s">
        <v>734</v>
      </c>
      <c r="R73" s="19" t="s">
        <v>735</v>
      </c>
    </row>
    <row r="74" spans="1:18" ht="86.4" x14ac:dyDescent="0.3">
      <c r="A74" s="3" t="s">
        <v>509</v>
      </c>
      <c r="B74" s="4" t="s">
        <v>510</v>
      </c>
      <c r="C74" s="4" t="s">
        <v>511</v>
      </c>
      <c r="D74" s="4" t="s">
        <v>19</v>
      </c>
      <c r="E74" s="4" t="s">
        <v>512</v>
      </c>
      <c r="F74" s="5" t="s">
        <v>101</v>
      </c>
      <c r="G74" s="5" t="s">
        <v>513</v>
      </c>
      <c r="H74" s="4" t="s">
        <v>514</v>
      </c>
      <c r="I74" s="5" t="s">
        <v>35</v>
      </c>
      <c r="J74" s="4" t="s">
        <v>515</v>
      </c>
      <c r="K74" s="6" t="s">
        <v>25</v>
      </c>
      <c r="L74" s="6" t="s">
        <v>26</v>
      </c>
      <c r="M74" s="7" t="s">
        <v>27</v>
      </c>
      <c r="N74" s="4" t="s">
        <v>516</v>
      </c>
      <c r="O74" s="19" t="s">
        <v>636</v>
      </c>
      <c r="P74" s="19" t="s">
        <v>637</v>
      </c>
      <c r="Q74" s="19" t="s">
        <v>637</v>
      </c>
      <c r="R74" s="19" t="s">
        <v>637</v>
      </c>
    </row>
    <row r="75" spans="1:18" ht="115.2" x14ac:dyDescent="0.3">
      <c r="A75" s="3" t="s">
        <v>517</v>
      </c>
      <c r="B75" s="4" t="s">
        <v>518</v>
      </c>
      <c r="C75" s="4" t="s">
        <v>519</v>
      </c>
      <c r="D75" s="4" t="s">
        <v>19</v>
      </c>
      <c r="E75" s="4" t="s">
        <v>520</v>
      </c>
      <c r="F75" s="5" t="s">
        <v>101</v>
      </c>
      <c r="G75" s="5" t="s">
        <v>521</v>
      </c>
      <c r="H75" s="4" t="s">
        <v>522</v>
      </c>
      <c r="I75" s="5" t="s">
        <v>35</v>
      </c>
      <c r="J75" s="4" t="s">
        <v>523</v>
      </c>
      <c r="K75" s="6" t="s">
        <v>25</v>
      </c>
      <c r="L75" s="6" t="s">
        <v>26</v>
      </c>
      <c r="M75" s="7" t="s">
        <v>27</v>
      </c>
      <c r="N75" s="4" t="s">
        <v>524</v>
      </c>
      <c r="O75" s="19" t="s">
        <v>736</v>
      </c>
      <c r="P75" s="19" t="s">
        <v>737</v>
      </c>
      <c r="Q75" s="19" t="s">
        <v>738</v>
      </c>
      <c r="R75" s="19" t="s">
        <v>739</v>
      </c>
    </row>
    <row r="76" spans="1:18" ht="86.4" x14ac:dyDescent="0.3">
      <c r="A76" s="3" t="s">
        <v>525</v>
      </c>
      <c r="B76" s="4" t="s">
        <v>526</v>
      </c>
      <c r="C76" s="4" t="s">
        <v>527</v>
      </c>
      <c r="D76" s="4" t="s">
        <v>19</v>
      </c>
      <c r="E76" s="4" t="s">
        <v>528</v>
      </c>
      <c r="F76" s="5" t="s">
        <v>75</v>
      </c>
      <c r="G76" s="5" t="s">
        <v>529</v>
      </c>
      <c r="H76" s="4" t="s">
        <v>530</v>
      </c>
      <c r="I76" s="5" t="s">
        <v>35</v>
      </c>
      <c r="J76" s="4" t="s">
        <v>24</v>
      </c>
      <c r="K76" s="6" t="s">
        <v>25</v>
      </c>
      <c r="L76" s="6" t="s">
        <v>26</v>
      </c>
      <c r="M76" s="7" t="s">
        <v>27</v>
      </c>
      <c r="N76" s="4" t="s">
        <v>531</v>
      </c>
      <c r="O76" s="19" t="s">
        <v>636</v>
      </c>
      <c r="P76" s="19" t="s">
        <v>637</v>
      </c>
      <c r="Q76" s="19" t="s">
        <v>637</v>
      </c>
      <c r="R76" s="19" t="s">
        <v>637</v>
      </c>
    </row>
    <row r="77" spans="1:18" ht="86.4" x14ac:dyDescent="0.3">
      <c r="A77" s="3" t="s">
        <v>182</v>
      </c>
      <c r="B77" s="4" t="s">
        <v>532</v>
      </c>
      <c r="C77" s="4" t="s">
        <v>533</v>
      </c>
      <c r="D77" s="4" t="s">
        <v>91</v>
      </c>
      <c r="E77" s="4" t="s">
        <v>534</v>
      </c>
      <c r="F77" s="5" t="s">
        <v>172</v>
      </c>
      <c r="G77" s="5" t="s">
        <v>535</v>
      </c>
      <c r="H77" s="4" t="s">
        <v>536</v>
      </c>
      <c r="I77" s="5" t="s">
        <v>35</v>
      </c>
      <c r="J77" s="4" t="s">
        <v>24</v>
      </c>
      <c r="K77" s="6" t="s">
        <v>25</v>
      </c>
      <c r="L77" s="6" t="s">
        <v>26</v>
      </c>
      <c r="M77" s="7" t="s">
        <v>27</v>
      </c>
      <c r="N77" s="4" t="s">
        <v>537</v>
      </c>
      <c r="O77" s="19" t="s">
        <v>636</v>
      </c>
      <c r="P77" s="19" t="s">
        <v>637</v>
      </c>
      <c r="Q77" s="19" t="s">
        <v>637</v>
      </c>
      <c r="R77" s="19" t="s">
        <v>637</v>
      </c>
    </row>
    <row r="78" spans="1:18" ht="86.4" x14ac:dyDescent="0.3">
      <c r="A78" s="3" t="s">
        <v>538</v>
      </c>
      <c r="B78" s="4" t="s">
        <v>539</v>
      </c>
      <c r="C78" s="4" t="s">
        <v>540</v>
      </c>
      <c r="D78" s="4" t="s">
        <v>19</v>
      </c>
      <c r="E78" s="4" t="s">
        <v>541</v>
      </c>
      <c r="F78" s="5" t="s">
        <v>172</v>
      </c>
      <c r="G78" s="5" t="s">
        <v>542</v>
      </c>
      <c r="H78" s="4" t="s">
        <v>543</v>
      </c>
      <c r="I78" s="5" t="s">
        <v>35</v>
      </c>
      <c r="J78" s="4" t="s">
        <v>544</v>
      </c>
      <c r="K78" s="6" t="s">
        <v>25</v>
      </c>
      <c r="L78" s="6" t="s">
        <v>26</v>
      </c>
      <c r="M78" s="7" t="s">
        <v>27</v>
      </c>
      <c r="N78" s="4" t="s">
        <v>51</v>
      </c>
      <c r="O78" s="19" t="s">
        <v>636</v>
      </c>
      <c r="P78" s="19" t="s">
        <v>637</v>
      </c>
      <c r="Q78" s="19" t="s">
        <v>637</v>
      </c>
      <c r="R78" s="19" t="s">
        <v>637</v>
      </c>
    </row>
    <row r="79" spans="1:18" ht="86.4" x14ac:dyDescent="0.3">
      <c r="A79" s="3" t="s">
        <v>545</v>
      </c>
      <c r="B79" s="4" t="s">
        <v>546</v>
      </c>
      <c r="C79" s="4" t="s">
        <v>547</v>
      </c>
      <c r="D79" s="4" t="s">
        <v>19</v>
      </c>
      <c r="E79" s="4" t="s">
        <v>548</v>
      </c>
      <c r="F79" s="5" t="s">
        <v>75</v>
      </c>
      <c r="G79" s="5" t="s">
        <v>549</v>
      </c>
      <c r="H79" s="4" t="s">
        <v>550</v>
      </c>
      <c r="I79" s="5" t="s">
        <v>35</v>
      </c>
      <c r="J79" s="4" t="s">
        <v>24</v>
      </c>
      <c r="K79" s="6" t="s">
        <v>25</v>
      </c>
      <c r="L79" s="6" t="s">
        <v>26</v>
      </c>
      <c r="M79" s="7" t="s">
        <v>27</v>
      </c>
      <c r="N79" s="4" t="s">
        <v>470</v>
      </c>
      <c r="O79" s="19" t="s">
        <v>636</v>
      </c>
      <c r="P79" s="19" t="s">
        <v>637</v>
      </c>
      <c r="Q79" s="19" t="s">
        <v>637</v>
      </c>
      <c r="R79" s="19" t="s">
        <v>637</v>
      </c>
    </row>
    <row r="80" spans="1:18" ht="86.4" x14ac:dyDescent="0.3">
      <c r="A80" s="3" t="s">
        <v>551</v>
      </c>
      <c r="B80" s="4" t="s">
        <v>552</v>
      </c>
      <c r="C80" s="4" t="s">
        <v>553</v>
      </c>
      <c r="D80" s="4" t="s">
        <v>19</v>
      </c>
      <c r="E80" s="4" t="s">
        <v>554</v>
      </c>
      <c r="F80" s="5" t="s">
        <v>75</v>
      </c>
      <c r="G80" s="5" t="s">
        <v>555</v>
      </c>
      <c r="H80" s="5" t="s">
        <v>556</v>
      </c>
      <c r="I80" s="5" t="s">
        <v>35</v>
      </c>
      <c r="J80" s="4" t="s">
        <v>24</v>
      </c>
      <c r="K80" s="6" t="s">
        <v>25</v>
      </c>
      <c r="L80" s="6" t="s">
        <v>26</v>
      </c>
      <c r="M80" s="7" t="s">
        <v>27</v>
      </c>
      <c r="N80" s="4" t="s">
        <v>557</v>
      </c>
      <c r="O80" s="19" t="s">
        <v>636</v>
      </c>
      <c r="P80" s="19" t="s">
        <v>637</v>
      </c>
      <c r="Q80" s="19" t="s">
        <v>637</v>
      </c>
      <c r="R80" s="19" t="s">
        <v>637</v>
      </c>
    </row>
    <row r="81" spans="1:18" ht="86.4" x14ac:dyDescent="0.3">
      <c r="A81" s="3" t="s">
        <v>558</v>
      </c>
      <c r="B81" s="4" t="s">
        <v>559</v>
      </c>
      <c r="C81" s="4" t="s">
        <v>560</v>
      </c>
      <c r="D81" s="4" t="s">
        <v>19</v>
      </c>
      <c r="E81" s="4" t="s">
        <v>561</v>
      </c>
      <c r="F81" s="5" t="s">
        <v>75</v>
      </c>
      <c r="G81" s="5" t="s">
        <v>562</v>
      </c>
      <c r="H81" s="4" t="s">
        <v>563</v>
      </c>
      <c r="I81" s="5" t="s">
        <v>35</v>
      </c>
      <c r="J81" s="4" t="s">
        <v>564</v>
      </c>
      <c r="K81" s="6" t="s">
        <v>25</v>
      </c>
      <c r="L81" s="6" t="s">
        <v>26</v>
      </c>
      <c r="M81" s="5" t="s">
        <v>565</v>
      </c>
      <c r="N81" s="4" t="s">
        <v>566</v>
      </c>
      <c r="O81" s="19" t="s">
        <v>636</v>
      </c>
      <c r="P81" s="19" t="s">
        <v>637</v>
      </c>
      <c r="Q81" s="19" t="s">
        <v>637</v>
      </c>
      <c r="R81" s="19" t="s">
        <v>637</v>
      </c>
    </row>
    <row r="82" spans="1:18" ht="86.4" x14ac:dyDescent="0.3">
      <c r="A82" s="3" t="s">
        <v>567</v>
      </c>
      <c r="B82" s="4" t="s">
        <v>568</v>
      </c>
      <c r="C82" s="4" t="s">
        <v>569</v>
      </c>
      <c r="D82" s="4" t="s">
        <v>19</v>
      </c>
      <c r="E82" s="4" t="s">
        <v>570</v>
      </c>
      <c r="F82" s="5" t="s">
        <v>388</v>
      </c>
      <c r="G82" s="5" t="s">
        <v>571</v>
      </c>
      <c r="H82" s="5" t="s">
        <v>572</v>
      </c>
      <c r="I82" s="5" t="s">
        <v>35</v>
      </c>
      <c r="J82" s="4" t="s">
        <v>24</v>
      </c>
      <c r="K82" s="6" t="s">
        <v>25</v>
      </c>
      <c r="L82" s="6" t="s">
        <v>26</v>
      </c>
      <c r="M82" s="7" t="s">
        <v>27</v>
      </c>
      <c r="N82" s="4" t="s">
        <v>51</v>
      </c>
      <c r="O82" s="19" t="s">
        <v>636</v>
      </c>
      <c r="P82" s="19" t="s">
        <v>637</v>
      </c>
      <c r="Q82" s="19" t="s">
        <v>637</v>
      </c>
      <c r="R82" s="19" t="s">
        <v>637</v>
      </c>
    </row>
    <row r="83" spans="1:18" ht="86.4" x14ac:dyDescent="0.3">
      <c r="A83" s="3" t="s">
        <v>573</v>
      </c>
      <c r="B83" s="4" t="s">
        <v>574</v>
      </c>
      <c r="C83" s="4" t="s">
        <v>575</v>
      </c>
      <c r="D83" s="4" t="s">
        <v>19</v>
      </c>
      <c r="E83" s="4" t="s">
        <v>576</v>
      </c>
      <c r="F83" s="5" t="s">
        <v>21</v>
      </c>
      <c r="G83" s="5" t="s">
        <v>41</v>
      </c>
      <c r="H83" s="5" t="s">
        <v>577</v>
      </c>
      <c r="I83" s="5" t="s">
        <v>35</v>
      </c>
      <c r="J83" s="4" t="s">
        <v>24</v>
      </c>
      <c r="K83" s="6" t="s">
        <v>25</v>
      </c>
      <c r="L83" s="6" t="s">
        <v>26</v>
      </c>
      <c r="M83" s="7" t="s">
        <v>27</v>
      </c>
      <c r="N83" s="4" t="s">
        <v>578</v>
      </c>
      <c r="O83" s="19" t="s">
        <v>636</v>
      </c>
      <c r="P83" s="19" t="s">
        <v>637</v>
      </c>
      <c r="Q83" s="19" t="s">
        <v>637</v>
      </c>
      <c r="R83" s="19" t="s">
        <v>637</v>
      </c>
    </row>
    <row r="84" spans="1:18" ht="86.4" x14ac:dyDescent="0.3">
      <c r="A84" s="3" t="s">
        <v>579</v>
      </c>
      <c r="B84" s="4" t="s">
        <v>580</v>
      </c>
      <c r="C84" s="4" t="s">
        <v>581</v>
      </c>
      <c r="D84" s="4" t="s">
        <v>91</v>
      </c>
      <c r="E84" s="4" t="s">
        <v>582</v>
      </c>
      <c r="F84" s="5" t="s">
        <v>583</v>
      </c>
      <c r="G84" s="5" t="s">
        <v>584</v>
      </c>
      <c r="H84" s="5" t="s">
        <v>585</v>
      </c>
      <c r="I84" s="5" t="s">
        <v>35</v>
      </c>
      <c r="J84" s="4" t="s">
        <v>24</v>
      </c>
      <c r="K84" s="6" t="s">
        <v>25</v>
      </c>
      <c r="L84" s="6" t="s">
        <v>26</v>
      </c>
      <c r="M84" s="7" t="s">
        <v>27</v>
      </c>
      <c r="N84" s="4" t="s">
        <v>586</v>
      </c>
      <c r="O84" s="19" t="s">
        <v>636</v>
      </c>
      <c r="P84" s="19" t="s">
        <v>637</v>
      </c>
      <c r="Q84" s="19" t="s">
        <v>637</v>
      </c>
      <c r="R84" s="19" t="s">
        <v>637</v>
      </c>
    </row>
  </sheetData>
  <autoFilter ref="A5:R84" xr:uid="{00000000-0001-0000-0000-000000000000}"/>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opLeftCell="A8" workbookViewId="0">
      <selection activeCell="G22" sqref="G22"/>
    </sheetView>
  </sheetViews>
  <sheetFormatPr defaultRowHeight="14.4" x14ac:dyDescent="0.3"/>
  <cols>
    <col min="1" max="1" width="47.6640625" bestFit="1" customWidth="1"/>
    <col min="2" max="2" width="12" bestFit="1" customWidth="1"/>
    <col min="3" max="3" width="10.44140625" bestFit="1" customWidth="1"/>
    <col min="4" max="4" width="44" customWidth="1"/>
    <col min="5" max="5" width="18.88671875" bestFit="1" customWidth="1"/>
  </cols>
  <sheetData>
    <row r="1" spans="1:5" ht="15.6" x14ac:dyDescent="0.3">
      <c r="A1" s="9" t="s">
        <v>620</v>
      </c>
    </row>
    <row r="3" spans="1:5" x14ac:dyDescent="0.3">
      <c r="A3" s="10" t="s">
        <v>587</v>
      </c>
      <c r="B3" s="10" t="s">
        <v>588</v>
      </c>
      <c r="C3" s="10" t="s">
        <v>589</v>
      </c>
      <c r="D3" s="10" t="s">
        <v>590</v>
      </c>
      <c r="E3" s="12" t="s">
        <v>626</v>
      </c>
    </row>
    <row r="4" spans="1:5" ht="34.200000000000003" x14ac:dyDescent="0.3">
      <c r="A4" s="4" t="s">
        <v>7</v>
      </c>
      <c r="B4" s="4">
        <v>79</v>
      </c>
      <c r="C4" s="4">
        <v>0</v>
      </c>
      <c r="D4" s="4" t="s">
        <v>591</v>
      </c>
      <c r="E4" s="13">
        <f>IF((B4+C4)=0,"",B4/(B4+C4))</f>
        <v>1</v>
      </c>
    </row>
    <row r="5" spans="1:5" ht="45.6" x14ac:dyDescent="0.3">
      <c r="A5" s="4" t="s">
        <v>8</v>
      </c>
      <c r="B5" s="4">
        <v>79</v>
      </c>
      <c r="C5" s="4">
        <v>0</v>
      </c>
      <c r="D5" s="4" t="s">
        <v>621</v>
      </c>
      <c r="E5" s="13">
        <f t="shared" ref="E5:E10" si="0">IF((B5+C5)=0,"",B5/(B5+C5))</f>
        <v>1</v>
      </c>
    </row>
    <row r="6" spans="1:5" ht="45.6" x14ac:dyDescent="0.3">
      <c r="A6" s="4" t="s">
        <v>9</v>
      </c>
      <c r="B6" s="4">
        <v>79</v>
      </c>
      <c r="C6" s="4">
        <v>0</v>
      </c>
      <c r="D6" s="4" t="s">
        <v>622</v>
      </c>
      <c r="E6" s="13">
        <f t="shared" si="0"/>
        <v>1</v>
      </c>
    </row>
    <row r="7" spans="1:5" ht="193.8" x14ac:dyDescent="0.3">
      <c r="A7" s="4" t="s">
        <v>10</v>
      </c>
      <c r="B7" s="4">
        <v>2</v>
      </c>
      <c r="C7" s="4">
        <v>77</v>
      </c>
      <c r="D7" s="4" t="s">
        <v>623</v>
      </c>
      <c r="E7" s="13">
        <f t="shared" si="0"/>
        <v>2.5316455696202531E-2</v>
      </c>
    </row>
    <row r="8" spans="1:5" x14ac:dyDescent="0.3">
      <c r="A8" s="4" t="s">
        <v>11</v>
      </c>
      <c r="B8" s="4">
        <v>79</v>
      </c>
      <c r="C8" s="4">
        <v>0</v>
      </c>
      <c r="D8" s="4" t="s">
        <v>592</v>
      </c>
      <c r="E8" s="13">
        <f t="shared" si="0"/>
        <v>1</v>
      </c>
    </row>
    <row r="9" spans="1:5" ht="68.400000000000006" x14ac:dyDescent="0.3">
      <c r="A9" s="4" t="s">
        <v>12</v>
      </c>
      <c r="B9" s="4">
        <v>17</v>
      </c>
      <c r="C9" s="4">
        <v>62</v>
      </c>
      <c r="D9" s="4" t="s">
        <v>624</v>
      </c>
      <c r="E9" s="13">
        <f t="shared" si="0"/>
        <v>0.21518987341772153</v>
      </c>
    </row>
    <row r="10" spans="1:5" ht="68.400000000000006" x14ac:dyDescent="0.3">
      <c r="A10" s="4" t="s">
        <v>13</v>
      </c>
      <c r="B10" s="4">
        <v>17</v>
      </c>
      <c r="C10" s="4">
        <v>62</v>
      </c>
      <c r="D10" s="4" t="s">
        <v>625</v>
      </c>
      <c r="E10" s="13">
        <f t="shared" si="0"/>
        <v>0.21518987341772153</v>
      </c>
    </row>
    <row r="12" spans="1:5" x14ac:dyDescent="0.3">
      <c r="A12" s="11"/>
    </row>
    <row r="13" spans="1:5" x14ac:dyDescent="0.3">
      <c r="A13" t="s">
        <v>627</v>
      </c>
      <c r="B13" s="14">
        <f>SUM(B4:B10)/(SUM(B4:B10)+SUM(C4:C10))</f>
        <v>0.63652802893309224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E6AB5134EB1F48BDC02E5481C039B5" ma:contentTypeVersion="15" ma:contentTypeDescription="Create a new document." ma:contentTypeScope="" ma:versionID="e2d254c18d8b18bbd5b2eea01dad530d">
  <xsd:schema xmlns:xsd="http://www.w3.org/2001/XMLSchema" xmlns:xs="http://www.w3.org/2001/XMLSchema" xmlns:p="http://schemas.microsoft.com/office/2006/metadata/properties" xmlns:ns3="c76fba90-bd48-4e65-9fce-772627206c4f" xmlns:ns4="e22f23d7-3fad-4827-9042-e8f9304ef95e" targetNamespace="http://schemas.microsoft.com/office/2006/metadata/properties" ma:root="true" ma:fieldsID="f4c6dbb42e6786ab9b115def02c94e82" ns3:_="" ns4:_="">
    <xsd:import namespace="c76fba90-bd48-4e65-9fce-772627206c4f"/>
    <xsd:import namespace="e22f23d7-3fad-4827-9042-e8f9304ef95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4:SharedWithUsers" minOccurs="0"/>
                <xsd:element ref="ns4:SharedWithDetails" minOccurs="0"/>
                <xsd:element ref="ns4:SharingHintHash"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6fba90-bd48-4e65-9fce-772627206c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2f23d7-3fad-4827-9042-e8f9304ef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76fba90-bd48-4e65-9fce-772627206c4f" xsi:nil="true"/>
  </documentManagement>
</p:properties>
</file>

<file path=customXml/itemProps1.xml><?xml version="1.0" encoding="utf-8"?>
<ds:datastoreItem xmlns:ds="http://schemas.openxmlformats.org/officeDocument/2006/customXml" ds:itemID="{1348EDF5-0419-4B2C-8C77-7EEE6BAFA2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6fba90-bd48-4e65-9fce-772627206c4f"/>
    <ds:schemaRef ds:uri="e22f23d7-3fad-4827-9042-e8f9304ef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903CEE-E95C-42FD-A969-F1901431EC77}">
  <ds:schemaRefs>
    <ds:schemaRef ds:uri="http://schemas.microsoft.com/sharepoint/v3/contenttype/forms"/>
  </ds:schemaRefs>
</ds:datastoreItem>
</file>

<file path=customXml/itemProps3.xml><?xml version="1.0" encoding="utf-8"?>
<ds:datastoreItem xmlns:ds="http://schemas.openxmlformats.org/officeDocument/2006/customXml" ds:itemID="{23FB2A6B-D58A-4043-A4F7-532B34D9967F}">
  <ds:schemaRefs>
    <ds:schemaRef ds:uri="http://www.w3.org/XML/1998/namespace"/>
    <ds:schemaRef ds:uri="http://purl.org/dc/elements/1.1/"/>
    <ds:schemaRef ds:uri="http://schemas.microsoft.com/office/2006/documentManagement/types"/>
    <ds:schemaRef ds:uri="http://purl.org/dc/dcmitype/"/>
    <ds:schemaRef ds:uri="e22f23d7-3fad-4827-9042-e8f9304ef95e"/>
    <ds:schemaRef ds:uri="http://purl.org/dc/terms/"/>
    <ds:schemaRef ds:uri="http://schemas.microsoft.com/office/2006/metadata/properties"/>
    <ds:schemaRef ds:uri="http://schemas.microsoft.com/office/infopath/2007/PartnerControls"/>
    <ds:schemaRef ds:uri="http://schemas.openxmlformats.org/package/2006/metadata/core-properties"/>
    <ds:schemaRef ds:uri="c76fba90-bd48-4e65-9fce-772627206c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 v0.10</vt:lpstr>
      <vt:lpstr>Status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2026-09-29T13:47:55Z</dcterms:created>
  <dcterms:modified xsi:type="dcterms:W3CDTF">2026-10-15T19:37:24Z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0x010100C0E6AB5134EB1F48BDC02E5481C039B5</vt:lpwstr>
  </property>
</Properties>
</file>