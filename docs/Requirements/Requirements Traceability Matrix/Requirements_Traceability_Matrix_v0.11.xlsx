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elind\m4-wt\records\docs\Requirements\Requirements Traceability Matrix\"/>
    </mc:Choice>
  </mc:AlternateContent>
  <xr:revisionPtr revIDLastSave="0" documentId="13_ncr:1_{A20D9419-4360-4461-8AC2-E06C86186644}" xr6:coauthVersionLast="47" xr6:coauthVersionMax="47" xr10:uidLastSave="{00000000-0000-0000-0000-000000000000}"/>
  <bookViews>
    <workbookView xWindow="-96" yWindow="-96" windowWidth="30912" windowHeight="17472" xr2:uid="{00000000-000D-0000-FFFF-FFFF00000000}"/>
  </bookViews>
  <sheets>
    <sheet name="RTM v0.11" sheetId="1" r:id="rId1"/>
    <sheet name="Status summary" sheetId="2" r:id="rId2"/>
  </sheets>
  <definedNames>
    <definedName name="_xlnm._FilterDatabase" localSheetId="0" hidden="1">'RTM v0.11'!$A$5:$R$84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2" l="1"/>
  <c r="E5" i="2"/>
  <c r="E6" i="2"/>
  <c r="E7" i="2"/>
  <c r="E8" i="2"/>
  <c r="E9" i="2"/>
  <c r="E10" i="2"/>
  <c r="E4" i="2"/>
</calcChain>
</file>

<file path=xl/sharedStrings.xml><?xml version="1.0" encoding="utf-8"?>
<sst xmlns="http://schemas.openxmlformats.org/spreadsheetml/2006/main" count="1464" uniqueCount="998">
  <si>
    <t>Requirements Traceability Matrix</t>
  </si>
  <si>
    <t>Legend:   amber = outstanding, owned by another criterion   ·   grey = controlled status, evidence not yet due   ·   red = requirement not yet baselined</t>
  </si>
  <si>
    <t>Req ID</t>
  </si>
  <si>
    <t>Source</t>
  </si>
  <si>
    <t>Requirement (current wording)</t>
  </si>
  <si>
    <t>Priority</t>
  </si>
  <si>
    <t>Acceptance criteria</t>
  </si>
  <si>
    <t>ASR / quality-driver link</t>
  </si>
  <si>
    <t>Architecture / module / component</t>
  </si>
  <si>
    <t>Data / persistence impact</t>
  </si>
  <si>
    <t>Design / interface decision</t>
  </si>
  <si>
    <t>Technology decision</t>
  </si>
  <si>
    <t>Implementation evidence</t>
  </si>
  <si>
    <t>Verification evidence</t>
  </si>
  <si>
    <t>Status</t>
  </si>
  <si>
    <t>ADR / change / risk reference</t>
  </si>
  <si>
    <t>FR-1.1</t>
  </si>
  <si>
    <t>SCP-012, CON-006</t>
  </si>
  <si>
    <t>The system will require a user to authenticate with a unique individual account before any service request data is displayed.</t>
  </si>
  <si>
    <t>High</t>
  </si>
  <si>
    <t>AC-FR-1.1 — Then the system returns no request data and presents the authentication prompt.</t>
  </si>
  <si>
    <t>ASR-01 consistent authorisation</t>
  </si>
  <si>
    <t>Identity &amp; Access — session middleware (presentation); users collection via repository (data access)</t>
  </si>
  <si>
    <t>users.email unique index (one individual account per person). Server-side session store in MongoDB (sessions collection, TTL). No requests read occurs before the guard resolves the session</t>
  </si>
  <si>
    <t>DEC-002 - MERN: MongoDB Atlas, Express, React, Node.js</t>
  </si>
  <si>
    <t>Baselined</t>
  </si>
  <si>
    <t>DEC-015</t>
  </si>
  <si>
    <t>FR-1.2</t>
  </si>
  <si>
    <t>SCP-012, STK-007, DEC-004</t>
  </si>
  <si>
    <t>The system will assign every authenticated user one or more roles from the controlled role set: Requester, Technician, Coordinator, Manager, Security Officer, Administrator.</t>
  </si>
  <si>
    <t>AC-FR-1.2 — Then the system rejects the save and reports that a role is required.</t>
  </si>
  <si>
    <t>Identity &amp; Access — ROLE set src/models/_shared.js; users/roles repositories (data access)</t>
  </si>
  <si>
    <t>users.roles: [enum ROLE] with validator length ≥ 1 (the schema rejection *is* AC-FR-1.2). roles collection seeded by migration from the single rule set (DEC-012)</t>
  </si>
  <si>
    <t>Pending - initial design decisions (Criterion E)</t>
  </si>
  <si>
    <t>DEC-004; DEC-012; review comment R-04 (code roles ≠ FR-1.2 set)</t>
  </si>
  <si>
    <t>FR-1.3</t>
  </si>
  <si>
    <t>DEC-004, CON-006, SCP-005</t>
  </si>
  <si>
    <t>The system will evaluate the acting user's role before executing any request view, action or status transition, and will reject the operation where the role is not authorised.</t>
  </si>
  <si>
    <t>AC-FR-1.3 — Then the system rejects the operation, makes no change to the request, and records the rejected attempt.</t>
  </si>
  <si>
    <t>Identity &amp; Access — route guard src/middleware/authorise.js (presentation) + access rule set src/domain/accessRules.js (application), DEC-012</t>
  </si>
  <si>
    <t>Effective permissions = roles.permissions ∪ groups.permissions, resolved per request, never cached in process (NFR-2.7). Rejected attempt recorded (AC-FR-1.3): auditLog insert origin:'access', eventType:'access.denied' by the app (insert-only privilege)</t>
  </si>
  <si>
    <t>DEC-015: 403 [further design entries pending - criterion E]</t>
  </si>
  <si>
    <t>DEC-004; DEC-017 (purpose B)</t>
  </si>
  <si>
    <t>FR-1.4</t>
  </si>
  <si>
    <t>STK-007, SCP-012</t>
  </si>
  <si>
    <t>The system will allow an Administrator to create a user account, amend its role assignments and revoke its access.</t>
  </si>
  <si>
    <t>AC-FR-1.4 — Then the account can no longer authenticate and its existing sessions are terminated.</t>
  </si>
  <si>
    <t>users.status (active/revoked), revokedAt, sessionEpoch. Revocation increments the epoch and every session carrying the old epoch is refused, which terminates existing sessions (AC-FR-1.4). Auth events to auditLog</t>
  </si>
  <si>
    <t>-</t>
  </si>
  <si>
    <t>FR-1.5</t>
  </si>
  <si>
    <t>CFL-002, STK-006, CON-007</t>
  </si>
  <si>
    <t>The system will restrict the description, comment history and action history of a request in a security category to users holding the Security Officer role.</t>
  </si>
  <si>
    <t>AC-FR-1.5 — Then the description, comment history and action history are absent from both the rendered page and the underlying response.</t>
  </si>
  <si>
    <t>ASR-01 consistent authorisation; ASR-03 personal-information protection</t>
  </si>
  <si>
    <t>Identity &amp; Access — route guard src/middleware/authorise.js (presentation) + access rule set src/domain/accessRules.js (application), DEC-012; response serialiser point 3 (presentation, planned — C-01)</t>
  </si>
  <si>
    <t>categories.isSecurity → req.securityCategory snapshot, immutable, so a later category edit cannot widen access to existing security requests. Description and hist.body of security requests are withheld at the serialiser (DEC-012 point 3). notifications.displayStatus never carries restricted detail</t>
  </si>
  <si>
    <t>CFL-002; RSK-005; RSK-009; condition C-01; CFL-002 (Proposed)</t>
  </si>
  <si>
    <t>FR-2.1</t>
  </si>
  <si>
    <t>SCP-001, STK-001</t>
  </si>
  <si>
    <t>The system will allow a user holding the Requester role to submit a service request.</t>
  </si>
  <si>
    <t>AC-FR-2.1 — Then the system stores a new request and returns its unique reference.</t>
  </si>
  <si>
    <t>No architectural driver (§6A.3)</t>
  </si>
  <si>
    <t>Requests — submission route (presentation, planned) and request service (application)</t>
  </si>
  <si>
    <t>One txn: counters $inc → req insert (status: Received, version: 1) → hist created entry (requestVersion: 1)</t>
  </si>
  <si>
    <t>DEC-015: POST /api/v1/requests, Idempotency-Key required, 201 + Location + ETag [further design entries pending - criterion E]</t>
  </si>
  <si>
    <t>DEC-015, DEC-016</t>
  </si>
  <si>
    <t>FR-2.2</t>
  </si>
  <si>
    <t>DEC-006, CFL-001</t>
  </si>
  <si>
    <t>The system will require exactly three fields at submission — category, location and description — and will treat no other field as mandatory.</t>
  </si>
  <si>
    <t>AC-FR-2.2a — Then the system accepts the submission.
AC-FR-2.2b — Then the system rejects the submission and names the missing field.</t>
  </si>
  <si>
    <t>ASR-03 personal-information protection</t>
  </si>
  <si>
    <t>Requests — Request model src/models/Request.js (three mandatory fields)</t>
  </si>
  <si>
    <t>Exactly three required fields at schema level: categoryId, location, description. No other field is required; title removed from the model</t>
  </si>
  <si>
    <t>DEC-015: 400 names the missing field (AC-FR-2.2b) [further design entries pending - criterion E]</t>
  </si>
  <si>
    <t>DEC-006; review comment R-08</t>
  </si>
  <si>
    <t>FR-2.3</t>
  </si>
  <si>
    <t>SCP-002, STK-004, STK-005</t>
  </si>
  <si>
    <t>The system will require the requester to select the category from a controlled list and will not accept a free-text category value.</t>
  </si>
  <si>
    <t>AC-FR-2.3 — Then the system rejects the submission and no request is stored.</t>
  </si>
  <si>
    <t>Requests + Reference Data — category reference (categoryId) validated against categories</t>
  </si>
  <si>
    <t>req.categoryId is an ObjectId reference to categories; there is no free-text category field. The service rejects inactive categories. strict:'throw' rejects an unknown category string</t>
  </si>
  <si>
    <t>FR-2.4</t>
  </si>
  <si>
    <t>DEC-006, CFL-001, STK-005</t>
  </si>
  <si>
    <t>The system will allow a requester to add further optional detail to a request after it has been submitted.</t>
  </si>
  <si>
    <t>Medium</t>
  </si>
  <si>
    <t>AC-FR-2.4 — Then the detail is stored against the request together with the date, time and acting user.</t>
  </si>
  <si>
    <t>Requests — request service update of optional detail (application, planned)</t>
  </si>
  <si>
    <t>Additional detail stored as a hist entry changeType:'detail' (body, actorId, occurredAt). Append-only; nulled by PROC-001</t>
  </si>
  <si>
    <t>DEC-015: POST /requests/{id}/details [further design entries pending - criterion E]</t>
  </si>
  <si>
    <t>DEC-006; DEC-017</t>
  </si>
  <si>
    <t>FR-2.5</t>
  </si>
  <si>
    <t>SCP-008, STK-005, CON-007</t>
  </si>
  <si>
    <t>The system will record the submitting user, the date and the time against every request at the point of submission.</t>
  </si>
  <si>
    <t>AC-FR-2.5 — Then it carries the submitting user identifier, the submission date and the submission time.</t>
  </si>
  <si>
    <t>ASR-02 lifecycle integrity and audit</t>
  </si>
  <si>
    <t>Requests — request service records submitter and timestamp (application)</t>
  </si>
  <si>
    <t>req.submittedById, req.requesterId, req.submittedAt (immutable), plus the hist created entry</t>
  </si>
  <si>
    <t>FR-2.6</t>
  </si>
  <si>
    <t>SCP-004, STK-001, Master Brief s.2</t>
  </si>
  <si>
    <t>The system will allocate a unique, immutable reference to every submitted request and display it to the requester on successful submission.</t>
  </si>
  <si>
    <t>AC-FR-2.6 — Then it contains a request reference that is unique across all requests and that does not change for the life of the request.</t>
  </si>
  <si>
    <t>Requests — immutable reference field in Request model</t>
  </si>
  <si>
    <t>req.reference unique index, immutable: true, format CC-&lt;yyyy&gt;-&lt;seq&gt;, generated from counters inside the create txn</t>
  </si>
  <si>
    <t>DEC-016</t>
  </si>
  <si>
    <t>FR-3.1</t>
  </si>
  <si>
    <t>SCP-003, STK-001</t>
  </si>
  <si>
    <t>The system will display to a requester a list of every request that requester has submitted.</t>
  </si>
  <si>
    <t>AC-FR-3.1 — Then all three of their own requests are listed and the other user's request is not.</t>
  </si>
  <si>
    <t>Requests — requester list query via request repository (data access)</t>
  </si>
  <si>
    <t>Query req {campusId, requesterId} sorted by submittedAt, index {campusId, requesterId, submittedAt}. After PROC-001, requesterId is null, so anonymised requests leave the requester's list (intended: the purpose is spent)</t>
  </si>
  <si>
    <t>DEC-017</t>
  </si>
  <si>
    <t>FR-3.2</t>
  </si>
  <si>
    <t>The system will display the current status of each request in the requester's own list.</t>
  </si>
  <si>
    <t>AC-FR-3.2 — Then the current status of that request is shown against it.</t>
  </si>
  <si>
    <t>Requests — requester list view (presentation)</t>
  </si>
  <si>
    <t>req.status in the same projection; no join</t>
  </si>
  <si>
    <t>FR-3.3</t>
  </si>
  <si>
    <t>SCP-003, SCP-008</t>
  </si>
  <si>
    <t>The system will display to the requester the dated status history of their own request.</t>
  </si>
  <si>
    <t>AC-FR-3.3 — Then each status change is listed with its date.</t>
  </si>
  <si>
    <t>Lifecycle &amp; Work Record — history read via historyRepository, displayed by Requests view</t>
  </si>
  <si>
    <t>hist entries with changeType ∈ {created, status} for the request, ordered by requestVersion via unique index {requestId, requestVersion}</t>
  </si>
  <si>
    <t>DEC-015: GET /requests/{id}/history [further design entries pending - criterion E]</t>
  </si>
  <si>
    <t>FR-3.4</t>
  </si>
  <si>
    <t>SCP-004, STK-001</t>
  </si>
  <si>
    <t>The system will display an in-application notification to the requester when their request is accepted, rejected, updated or completed.</t>
  </si>
  <si>
    <t>AC-FR-3.4 — Then an in-application notification identifying the request and the change is available to that requester on their next session.</t>
  </si>
  <si>
    <t>Notifications — notificationSubscriber via event registry src/events/subscribers/index.js (DEC-011)</t>
  </si>
  <si>
    <t>notifications (userId, requestReference, kind, displayStatus, sourceHistoryId unique with userId, read). Written by NotificationSubscriber after commit (DEC-011); idempotent on redelivery; TTL 30 days</t>
  </si>
  <si>
    <t>DEC-011, DEC-017</t>
  </si>
  <si>
    <t>FR-3.5</t>
  </si>
  <si>
    <t>CFL-002, STK-006, STK-001</t>
  </si>
  <si>
    <t>The system will limit the status values shown to the requester on a security-category request to Received, In Progress and Closed.</t>
  </si>
  <si>
    <t>AC-FR-3.5 — Then the displayed status is one of Received, In Progress or Closed, and no other status value appears.</t>
  </si>
  <si>
    <t>Requests — visibleStatusFor in access rule set (application); serialiser (presentation), DEC-012 point 3</t>
  </si>
  <si>
    <t>Stored req.status remains the internal FR-6.1 value. The requester-facing mapping (Received / In Progress / Closed) is applied at the serialiser and before writing notifications.displayStatus</t>
  </si>
  <si>
    <t>CFL-002; RSK-005; RSK-009; condition C-01; review comment R-18 (notification leaks internal status)</t>
  </si>
  <si>
    <t>FR-3.6</t>
  </si>
  <si>
    <t>CON-007, SCP-012, STK-009</t>
  </si>
  <si>
    <t>The system will prevent a requester from viewing any request submitted by another user.</t>
  </si>
  <si>
    <t>AC-FR-3.6 — Then the system refuses the request and returns no data from it.</t>
  </si>
  <si>
    <t>Requests — object-level check in service (application), DEC-012 point 2</t>
  </si>
  <si>
    <t>Object-level filter requesterId == actor.id, applied in the repository query itself. No data read for a foreign request</t>
  </si>
  <si>
    <t>DEC-015: 404 (no existence oracle) [further design entries pending - criterion E]</t>
  </si>
  <si>
    <t>DEC-012 point 2</t>
  </si>
  <si>
    <t>FR-4.1</t>
  </si>
  <si>
    <t>SCP-005, STK-002, STK-003</t>
  </si>
  <si>
    <t>The system will present to each staff user the set of requests their role and category authorisation permit them to view.</t>
  </si>
  <si>
    <t>AC-FR-4.1 — Then the list contains every request their authorisation permits and no request outside it.</t>
  </si>
  <si>
    <t>Requests — category authorisation in access rule set (application), DEC-012 point 2</t>
  </si>
  <si>
    <t>Filter categoryId ∈ effectiveCategoryAuthorisations(user ∪ groups); index {campusId, categoryId, assigneeId, status}</t>
  </si>
  <si>
    <t>FR-4.2</t>
  </si>
  <si>
    <t>SCP-005, Master Brief s.3</t>
  </si>
  <si>
    <t>The system will display the full detail of a request to a staff user authorised to view it.</t>
  </si>
  <si>
    <t>AC-FR-4.2 — Then the category, location, description, status, submission details, assignment, comment history and action history are all displayed.</t>
  </si>
  <si>
    <t>Requests — detail read after object-level check (application)</t>
  </si>
  <si>
    <t>Reads req + hist timeline. No additional entity; the model supports every field AC-FR-4.2 lists</t>
  </si>
  <si>
    <t>Proposed — OI-01</t>
  </si>
  <si>
    <t>OI-01; OI-01 (unchanged)</t>
  </si>
  <si>
    <t>FR-4.3</t>
  </si>
  <si>
    <t>SCP-006, STK-004</t>
  </si>
  <si>
    <t>The system will allow a staff user to search requests by request reference, category, location and description text.</t>
  </si>
  <si>
    <t>AC-FR-4.3 — Then the request appears in the results.</t>
  </si>
  <si>
    <t>ASR-04 scalability headroom</t>
  </si>
  <si>
    <t>Requests — search query in request repository, index-justified (data access, NFR-2.6)</t>
  </si>
  <si>
    <t>Reference: unique index on reference. Category/location/description: text index {description, location} with category filter</t>
  </si>
  <si>
    <t>DEC-015: POST /requests/search (search text kept out of URIs, CON-007) [further design entries pending - criterion E]</t>
  </si>
  <si>
    <t>FR-4.4</t>
  </si>
  <si>
    <t>The system will allow a staff user to filter the request list by status, category, assigned user and submission date range.</t>
  </si>
  <si>
    <t>AC-FR-4.4 — Then only requests in that status are listed.</t>
  </si>
  <si>
    <t>Requests — filter query in request repository, index-justified (data access, NFR-2.6)</t>
  </si>
  <si>
    <t>Indexes {campusId, status, submittedAt}, {campusId, assigneeId, status}, {campusId, submittedAt, categoryId}</t>
  </si>
  <si>
    <t>DEC-015: query params status, categoryId, assigneeId, from, to; cursor pagination [further design entries pending - criterion E]</t>
  </si>
  <si>
    <t>NFR-2.6</t>
  </si>
  <si>
    <t>FR-4.5</t>
  </si>
  <si>
    <t>The system will allow a staff user to sort the request list by submission date, status and category.</t>
  </si>
  <si>
    <t>Low</t>
  </si>
  <si>
    <t>AC-FR-4.5 — Then the most recently submitted request appears first.</t>
  </si>
  <si>
    <t>Requests — sort query in request repository, index-justified (data access, NFR-2.6)</t>
  </si>
  <si>
    <t>Sort keys (submittedAt, status, categoryId) are covered by the FR-4.4 indexes; no in-memory sort (M0 32 MB sort limit)</t>
  </si>
  <si>
    <t>FR-4.6</t>
  </si>
  <si>
    <t>CFL-003, STK-002, STK-003, STK-004</t>
  </si>
  <si>
    <t>The system will present unassigned requests as a distinct set to the Coordinator and to Technicians whose category authorisation matches the request category.</t>
  </si>
  <si>
    <t>AC-FR-4.6 — Then the request appears for the first Technician and does not appear for the second.</t>
  </si>
  <si>
    <t>Requests — unassigned-set query plus category authorisation (application)</t>
  </si>
  <si>
    <t>assigneeId: null + categoryId filter on index {campusId, categoryId, assigneeId, status}</t>
  </si>
  <si>
    <t>FR-5.1</t>
  </si>
  <si>
    <t>SCP-007, STK-004, CFL-003</t>
  </si>
  <si>
    <t>The system will allow a Coordinator to assign a request to a named staff user.</t>
  </si>
  <si>
    <t>AC-FR-5.1 — Then the request records that user as its owner and no longer appears in the unassigned set.</t>
  </si>
  <si>
    <t>Assignment — assignment service (application, planned); POST /api/v1/requests/:id/assignments (DEC-015)</t>
  </si>
  <si>
    <t>One txn: req.assigneeId/assignedAt, status → Assigned, version+1; hist assignment entry (fromAssigneeId, toAssigneeId)</t>
  </si>
  <si>
    <t>DEC-015: POST /requests/{id}/assignments, If-Match, Idempotency-Key [further design entries pending - criterion E]</t>
  </si>
  <si>
    <t>FR-5.2</t>
  </si>
  <si>
    <t>CFL-003, STK-002, STK-003</t>
  </si>
  <si>
    <t>The system will allow a Technician to accept an unassigned request whose category matches their own category authorisation.</t>
  </si>
  <si>
    <t>AC-FR-5.2 — Then that Technician is recorded as the owner of the request.</t>
  </si>
  <si>
    <t>Assignment — accept path with category authorisation (application, planned)</t>
  </si>
  <si>
    <t>As FR-5.1, with update filter {assigneeId: null, version}, so an accept cannot overwrite an owner. Authorisation from categoryAuthorisations</t>
  </si>
  <si>
    <t>FR-5.3</t>
  </si>
  <si>
    <t>CFL-003, STK-004</t>
  </si>
  <si>
    <t>The system will reject any attempt by a Technician to accept a request that already has an assigned owner.</t>
  </si>
  <si>
    <t>AC-FR-5.3 — Then the system refuses, the recorded owner remains Technician 1, and the refused attempt is recorded.</t>
  </si>
  <si>
    <t>Assignment — conditional update on version (data access, DEC-016)</t>
  </si>
  <si>
    <t>The conditional update matches 0 documents when an owner exists: refused and the owner is unchanged. The refused attempt is written to auditLog (access.denied) as AC-FR-5.3 requires</t>
  </si>
  <si>
    <t>DEC-015: 422 (already assigned) / 412 (stale version) [further design entries pending - criterion E]</t>
  </si>
  <si>
    <t>FR-5.4</t>
  </si>
  <si>
    <t>SCP-008, CFL-003, STK-005</t>
  </si>
  <si>
    <t>The system will record the acting user, the date and the time for every assignment and reassignment.</t>
  </si>
  <si>
    <t>AC-FR-5.4 — Then the acting user, date and time of both the assignment and the reassignment are present.</t>
  </si>
  <si>
    <t>Assignment + Lifecycle &amp; Work Record — history entry per assignment (append-only)</t>
  </si>
  <si>
    <t>hist assignment entry: actorId, occurredAt, from/toAssigneeId; req.lastActorId for trigger attribution</t>
  </si>
  <si>
    <t>FR-5.5</t>
  </si>
  <si>
    <t>SCP-007, STK-004</t>
  </si>
  <si>
    <t>The system will allow a Coordinator to reassign a request that already has an assigned owner.</t>
  </si>
  <si>
    <t>AC-FR-5.5 — Then Technician 2 is recorded as the owner and the previous assignment remains visible in the history.</t>
  </si>
  <si>
    <t>Assignment — reassignment path (application, planned)</t>
  </si>
  <si>
    <t>Reassignment hist entry keeps fromAssigneeId, so the previous owner remains visible (AC-FR-5.5)</t>
  </si>
  <si>
    <t>FR-6.1</t>
  </si>
  <si>
    <t>SCP-008, STK-005</t>
  </si>
  <si>
    <t>The system will maintain a controlled set of request statuses: Received, Assigned, In Progress, On Hold, Resolved, Closed and Rejected.</t>
  </si>
  <si>
    <t>AC-FR-6.1 — Then they are exactly Received, Assigned, In Progress, On Hold, Resolved, Closed and Rejected.</t>
  </si>
  <si>
    <t>Lifecycle &amp; Work Record — STATUS set src/models/_shared.js</t>
  </si>
  <si>
    <t>req.status enum of exactly Received, Assigned, In Progress, On Hold, Resolved, Closed, Rejected; hist.fromStatus/toStatus share the enum</t>
  </si>
  <si>
    <t>Review comment R-07 (code uses different values)</t>
  </si>
  <si>
    <t>FR-6.2</t>
  </si>
  <si>
    <t>SCP-008</t>
  </si>
  <si>
    <t>The system will permit only the status transitions defined in the controlled transition model and will reject any other transition.</t>
  </si>
  <si>
    <t>AC-FR-6.2 — Then the system refuses it and the status is unchanged.</t>
  </si>
  <si>
    <t>Lifecycle &amp; Work Record — StatusTransitionService src/services/statusTransitionService.js and transition model src/domain/requestStatus.js (application); historyRepository (data access); POST /api/v1/requests/:id/transitions (DEC-015)</t>
  </si>
  <si>
    <t>Transition applied as a version-conditioned update + hist insert in one txn; a refused transition writes nothing</t>
  </si>
  <si>
    <t>DEC-015: POST /requests/{id}/transitions (event, not field update); 422 illegal, 412 stale, 428 missing If-Match [further design entries pending - criterion E]</t>
  </si>
  <si>
    <t>FR-6.3</t>
  </si>
  <si>
    <t>The system will record the acting user, previous status, new status, date and time for every status transition.</t>
  </si>
  <si>
    <t>AC-FR-6.3 — Then the entry records the acting user, the previous status, the new status, the date and the time.</t>
  </si>
  <si>
    <t>hist status entry: actorId, actorRole, fromStatus, toStatus, occurredAt, requestVersion</t>
  </si>
  <si>
    <t>FR-6.4</t>
  </si>
  <si>
    <t>SCP-008, SCP-012, DEC-004</t>
  </si>
  <si>
    <t>The system will restrict each status transition to the roles authorised to perform that transition.</t>
  </si>
  <si>
    <t>AC-FR-6.4 — Then the system refuses it and the status is unchanged.</t>
  </si>
  <si>
    <t>Lifecycle &amp; Work Record — role check in transition model (application) + route guard src/middleware/authorise.js (presentation) + access rule set src/domain/accessRules.js (application), DEC-012</t>
  </si>
  <si>
    <t>hist.actorRole recorded on every entry; role verdict computed before any write</t>
  </si>
  <si>
    <t>DEC-015: 403/422 [further design entries pending - criterion E]</t>
  </si>
  <si>
    <t>DEC-004</t>
  </si>
  <si>
    <t>FR-6.5</t>
  </si>
  <si>
    <t>SCP-009, SCP-010</t>
  </si>
  <si>
    <t>The system will require resolution information to be recorded before a request may be moved to Resolved.</t>
  </si>
  <si>
    <t>AC-FR-6.5 — Then the system refuses and states that resolution information is required.</t>
  </si>
  <si>
    <t>Lifecycle &amp; Work Record — transition model requestStatus.js (requiresResolution)</t>
  </si>
  <si>
    <t>req.resolution.{summary, recordedAt, recordedById} must be non-null before the domain permits → Resolved; set in the same txn as the transition</t>
  </si>
  <si>
    <t>DEC-015: 422 problem "resolution-required" [further design entries pending - criterion E]</t>
  </si>
  <si>
    <t>FR-6.6</t>
  </si>
  <si>
    <t>SCP-010, SCP-004</t>
  </si>
  <si>
    <t>The system will allow an authorised staff user to close or reject a request with a recorded reason.</t>
  </si>
  <si>
    <t>AC-FR-6.6 — Then the first attempt is refused and the second stores the reason and displays it in the history.</t>
  </si>
  <si>
    <t>Lifecycle &amp; Work Record — transition model requestStatus.js (REASON_REQUIRED)</t>
  </si>
  <si>
    <t>req.closure.{reason, closedAt, closedById}; the reason also stored as hist.body. closure.closedAt starts the NFR-4.2 retention clock</t>
  </si>
  <si>
    <t>DEC-017, PROC-001</t>
  </si>
  <si>
    <t>FR-6.7</t>
  </si>
  <si>
    <t>SCP-008, CON-007, CON-015, Master Brief s.2</t>
  </si>
  <si>
    <t>The system will prevent any user, including an Administrator, from altering or deleting a recorded status transition, assignment or comment entry.</t>
  </si>
  <si>
    <t>AC-FR-6.7 — Then no such operation is available and the entry is unchanged.</t>
  </si>
  <si>
    <t>Lifecycle &amp; Work Record — RequestHistory model (append-only, DB-01), historyRepository (no mutating method); Atlas trigger in the data store (CON-015)</t>
  </si>
  <si>
    <t>DB-01, three layers: repository interface; schema hooks incl. bulkWrite; Atlas role: app user has find+insert only on requestHistory. The sole exception is PROC-001 (CR-003)</t>
  </si>
  <si>
    <t>FR-7.1</t>
  </si>
  <si>
    <t>SCP-009</t>
  </si>
  <si>
    <t>The system will allow an authorised staff user to add a comment to a request.</t>
  </si>
  <si>
    <t>AC-FR-7.1 — Then the comment is stored against the request and is visible to users authorised to view it.</t>
  </si>
  <si>
    <t>Lifecycle &amp; Work Record — work record service (application, planned)</t>
  </si>
  <si>
    <t>hist changeType:'comment', body, attribution; append-only (DB-01). Visibility per DEC-012</t>
  </si>
  <si>
    <t>DEC-015: POST /requests/{id}/comments + Idempotency-Key (duplicates on retry impossible) [further design entries pending - criterion E]</t>
  </si>
  <si>
    <t>FR-7.2</t>
  </si>
  <si>
    <t>The system will allow an authorised staff user to record an action taken against a request.</t>
  </si>
  <si>
    <t>AC-FR-7.2 — Then the action is stored against the request.</t>
  </si>
  <si>
    <t>hist changeType:'action'</t>
  </si>
  <si>
    <t>as FR-7.1, /actions [further design entries pending - criterion E]</t>
  </si>
  <si>
    <t>FR-7.3</t>
  </si>
  <si>
    <t>SCP-009, SCP-008</t>
  </si>
  <si>
    <t>The system will record the authoring user, date and time against every comment and action entry.</t>
  </si>
  <si>
    <t>AC-FR-7.3 — Then it carries the authoring user, the date and the time.</t>
  </si>
  <si>
    <t>Lifecycle &amp; Work Record — history entry records author and time (append-only)</t>
  </si>
  <si>
    <t>Audit fields on write: acting user, date, time</t>
  </si>
  <si>
    <t>FR-7.4</t>
  </si>
  <si>
    <t>SCP-009, SCP-005</t>
  </si>
  <si>
    <t>The system will display the comment and action history of a request in chronological order to users authorised to view it.</t>
  </si>
  <si>
    <t>AC-FR-7.4 — Then all five entries are listed in ascending order of the time recorded.</t>
  </si>
  <si>
    <t>Lifecycle &amp; Work Record — history read, filtered by access rule set (application)</t>
  </si>
  <si>
    <t>Order by requestVersion (monotonic per request, DB-unique) rather than occurredAt, so clock skew cannot reorder the timeline</t>
  </si>
  <si>
    <t>FR-7.5</t>
  </si>
  <si>
    <t>The system will allow an authorised staff user to record resolution information against a request.</t>
  </si>
  <si>
    <t>AC-FR-7.5 — Then it is stored against the request and is visible in the request detail.</t>
  </si>
  <si>
    <t>Lifecycle &amp; Work Record — resolution fields recorded by the transition to Resolved</t>
  </si>
  <si>
    <t>req.resolution sub-document + hist changeType:'resolution' in one txn</t>
  </si>
  <si>
    <t>FR-8.1</t>
  </si>
  <si>
    <t>SCP-011, STK-005</t>
  </si>
  <si>
    <t>The system will present to a Manager the count of requests in each status.</t>
  </si>
  <si>
    <t>AC-FR-8.1 — Then a count is shown for each status and the counts sum to the total number of requests within the applied filter.</t>
  </si>
  <si>
    <t>ASR-04 scalability headroom; ASR-03 personal-information protection</t>
  </si>
  <si>
    <t>Reporting — reportingProjectionSubscriber → reportingCounts (DEC-011)</t>
  </si>
  <si>
    <t>reportingCounts {campusId, categoryId, status, count} projection (DEC-011 subscriber), rebuildable from req by the reconciliation job. Counts sum to the total (AC-FR-8.1) because the rebuild is exact</t>
  </si>
  <si>
    <t>DEC-011; review comment R-17</t>
  </si>
  <si>
    <t>FR-8.2</t>
  </si>
  <si>
    <t>The system will present to a Manager the count of requests in each category.</t>
  </si>
  <si>
    <t>AC-FR-8.2 — Then a count is shown for each category.</t>
  </si>
  <si>
    <t>Same projection grouped by categoryId</t>
  </si>
  <si>
    <t>FR-8.3</t>
  </si>
  <si>
    <t>The system will identify a request as overdue where its elapsed open time exceeds the target resolution time defined for its category.</t>
  </si>
  <si>
    <t>AC-FR-8.3 — Then the first request is identified as overdue and the second is not.</t>
  </si>
  <si>
    <t>Reporting — overdue calculation (application, planned; target undefined — C-02)</t>
  </si>
  <si>
    <t>req.dueAt computed from categories.targetResolutionHours at submission; overdue = non-terminal ∧ dueAt &lt; now</t>
  </si>
  <si>
    <t>RSK-003 / C-02 (target not agreed)</t>
  </si>
  <si>
    <t>FR-8.4</t>
  </si>
  <si>
    <t>The system will allow a Manager to define and amend the target resolution time for each category.</t>
  </si>
  <si>
    <t>AC-FR-8.4 — Then the value is stored and is used by the overdue calculation verified in AC-FR-8.3.</t>
  </si>
  <si>
    <t>Reporting + Reference Data — category target resolution time (planned)</t>
  </si>
  <si>
    <t>categories.targetResolutionHours; an amendment recomputes dueAt for open requests in that category (batch, audited)</t>
  </si>
  <si>
    <t>Proposed — OI-02</t>
  </si>
  <si>
    <t>OI-02; OI-02 (unchanged)</t>
  </si>
  <si>
    <t>FR-8.5</t>
  </si>
  <si>
    <t>The system will allow the management view to be filtered by submission date range and by category.</t>
  </si>
  <si>
    <t>AC-FR-8.5 — Then the displayed counts include only requests matching both conditions.</t>
  </si>
  <si>
    <t>Reporting — filtered read of reportingCounts (data access)</t>
  </si>
  <si>
    <t>Aggregation over req, index {campusId, submittedAt, categoryId}. Not served by reportingCounts, because counters cannot be sliced by an arbitrary date range</t>
  </si>
  <si>
    <t>FR-8.6</t>
  </si>
  <si>
    <t>CFL-002, STK-006, STK-005, CON-007</t>
  </si>
  <si>
    <t>The system will exclude security-category request detail from management views presented to users who do not hold the Security Officer role, while still including those requests in the status and category counts.</t>
  </si>
  <si>
    <t>AC-FR-8.6 — Then those requests are included in the status and category counts, and their description, comments and actions are not reachable from that view.</t>
  </si>
  <si>
    <t>Reporting — field-level rule in access rule set (application), DEC-012</t>
  </si>
  <si>
    <t>reportingCounts holds no detail fields, so security requests are counted without exposure. Detail excluded at the serialiser</t>
  </si>
  <si>
    <t>CFL-002; RSK-005; RSK-009; condition C-01</t>
  </si>
  <si>
    <t>FR-9.1</t>
  </si>
  <si>
    <t>SCP-002, STK-007</t>
  </si>
  <si>
    <t>The system will allow an Administrator to create, amend and deactivate a service request category.</t>
  </si>
  <si>
    <t>AC-FR-9.1 — Then the category is no longer selectable on the submission form.</t>
  </si>
  <si>
    <t>Reference Data — category administration service (application, planned)</t>
  </si>
  <si>
    <t>categories.active flag; categories are never deleted</t>
  </si>
  <si>
    <t>Proposed — OI-03</t>
  </si>
  <si>
    <t>OI-03; OI-03 (unchanged)</t>
  </si>
  <si>
    <t>FR-1.6</t>
  </si>
  <si>
    <t>CON-019, STK-010, SCP-012, STK-007</t>
  </si>
  <si>
    <t>The system will allow an Administrator to define user groups, assign authorisation to a group, and derive a user's effective permissions from the combination of their roles and their group memberships.</t>
  </si>
  <si>
    <t>AC-FR-1.6 — Then the user's effective permissions include the group's authorisation, and removing the user from the group withdraws it.</t>
  </si>
  <si>
    <t>Identity &amp; Access — groups collection and effective-permission derivation (application, planned)</t>
  </si>
  <si>
    <t>groups collection (permissions, categoryAuthorisations, active); users.groupIds. Removing a user from a group withdraws the authorisation at the next request, with no cached copy (AC-FR-1.6)</t>
  </si>
  <si>
    <t>FR-9.2</t>
  </si>
  <si>
    <t>SCP-002, SCP-011, STK-005</t>
  </si>
  <si>
    <t>The system will retain existing requests and their reporting history against a category that has been deactivated.</t>
  </si>
  <si>
    <t>AC-FR-9.2 — Then those requests retain the category and continue to appear in the category counts verified in AC-FR-8.2.</t>
  </si>
  <si>
    <t>Reference Data + Reporting — deactivation flag; counts retained in reportingCounts</t>
  </si>
  <si>
    <t>Retention rule applies: one month for identifiable data (DEC-005); aggregates retained beyond</t>
  </si>
  <si>
    <t>NFR-1.1</t>
  </si>
  <si>
    <t>CON-008, CON-002, CON-004</t>
  </si>
  <si>
    <t>The system will be fully operable through the current release and one prior release of Google Chrome, Microsoft Edge and Mozilla Firefox on Windows, with no client-side installation.</t>
  </si>
  <si>
    <t>AC-NFR-1.1 — Then each journey completes with no functional failure and without any client-side installation.</t>
  </si>
  <si>
    <t>ASR-06 deployability within cost</t>
  </si>
  <si>
    <t>Physical tier 1 — browser client; no installation</t>
  </si>
  <si>
    <t>No persistence consequence. Browser compatibility is a client property; the API contract is browser-agnostic JSON</t>
  </si>
  <si>
    <t>DEC-002 - MERN: MongoDB Atlas, Express, React, Node.js | React client; browser set unconfirmed (OI-07)</t>
  </si>
  <si>
    <t>Baselined — assumption open (OI-07)</t>
  </si>
  <si>
    <t>OI-07; OI-07 (browser set unconfirmed at DEC-002 closure)</t>
  </si>
  <si>
    <t>NFR-1.2</t>
  </si>
  <si>
    <t>CON-011, DEC-007 (Revised), STK-010, CON-004</t>
  </si>
  <si>
    <t>The system will present every Requester and Technician function usably at viewport widths from 360 CSS pixels upward, with no horizontal scrolling and no interactive control smaller than 44 x 44 CSS pixels.</t>
  </si>
  <si>
    <t>AC-NFR-1.2 — Then no horizontal scrolling is required and every interactive control measures at least 44 x 44 CSS pixels.</t>
  </si>
  <si>
    <t>Screened out — not architectural (§6A.3.2)</t>
  </si>
  <si>
    <t>Presentation layer — responsive React client</t>
  </si>
  <si>
    <t>No persistence consequence. Viewport/usability is presentation-layer only</t>
  </si>
  <si>
    <t>DEC-007</t>
  </si>
  <si>
    <t>NFR-1.3</t>
  </si>
  <si>
    <t>SCP-016, CON-008</t>
  </si>
  <si>
    <t>The system will operate with no runtime dependency on any campus system interface, including student records, HR and the asset register.</t>
  </si>
  <si>
    <t>AC-NFR-1.3 — Then all four journeys complete successfully.</t>
  </si>
  <si>
    <t>All modules — no campus-system integration adapter exists (SCP-016)</t>
  </si>
  <si>
    <t>No persistence consequence beyond isolation: no references to campus-system identifiers; users, categories and locations are held locally (SCP-016)</t>
  </si>
  <si>
    <t>NFR-1.4</t>
  </si>
  <si>
    <t>CON-003, CON-006, CON-007, CON-014, CON-015</t>
  </si>
  <si>
    <t>The system will write an immutable log entry for every authentication attempt, status transition and assignment action, and will retain those entries for a minimum of 90 days.</t>
  </si>
  <si>
    <t>AC-NFR-1.4 — Then all three entries are present and unaltered.</t>
  </si>
  <si>
    <t>Data store — Atlas trigger writes auditLog (scripts/atlas)</t>
  </si>
  <si>
    <t>auditLog, purpose B, ≥ 90 days (TTL 92 d), minimised content (M-1)</t>
  </si>
  <si>
    <t>NFR-1.5</t>
  </si>
  <si>
    <t>CON-003, CON-006</t>
  </si>
  <si>
    <t>The system will be recoverable to a state no more than 24 hours old following total loss of the primary data store.</t>
  </si>
  <si>
    <t>AC-NFR-1.5 — Then the system returns to service with all data recorded up to T.</t>
  </si>
  <si>
    <t>Physical tier 3 — Atlas cluster plus operated backup (scripts/backup, DEC-010)</t>
  </si>
  <si>
    <t>DEC-010 closed: mongodump every 12 h to an encrypted institutional server, 7-day retention, weekly restore into the test project with a consistency check. Free cluster: no --oplog, so the check reconciles cross-collection skew</t>
  </si>
  <si>
    <t>DEC-002 - MERN: MongoDB Atlas, Express, React, Node.js | DEC-010 open: cluster tier and backup mechanism undecided</t>
  </si>
  <si>
    <t>Baselined — verify under DEC-003</t>
  </si>
  <si>
    <t>DEC-010; NFR-1.5 measurement basis; RSK-020</t>
  </si>
  <si>
    <t>NFR-1.6</t>
  </si>
  <si>
    <t>CON-006, Master Brief s.17</t>
  </si>
  <si>
    <t>The system will expose a health endpoint that reports application and data store availability without requiring a user account.</t>
  </si>
  <si>
    <t>AC-NFR-1.6 — Then it returns the application status and the data store status.</t>
  </si>
  <si>
    <t>Health check issues a database ping only; reads no collection and no personal data</t>
  </si>
  <si>
    <t>DEC-002 - MERN: MongoDB Atlas, Express, React, Node.js | Express health endpoint</t>
  </si>
  <si>
    <t>NFR-2.1</t>
  </si>
  <si>
    <t>CON-010, STK-010, STK-001, CFL-001, CON-005</t>
  </si>
  <si>
    <t>The system will return the submission confirmation for a new service request within 3 seconds for 95% of submissions at a sustained load of 100 concurrent authenticated users.</t>
  </si>
  <si>
    <t>AC-NFR-2.1 — Then at least 95 confirmations are returned within 3 seconds, measured server-side.</t>
  </si>
  <si>
    <t>Requests module on a stateless tier-2 process (ASR-04)</t>
  </si>
  <si>
    <t>Submission = one txn of about 4 operations; within the free-cluster 100 ops/s ceiling at CON-010 load</t>
  </si>
  <si>
    <t>Baselined — CON-010 confirmed</t>
  </si>
  <si>
    <t>RSK-019</t>
  </si>
  <si>
    <t>NFR-2.2</t>
  </si>
  <si>
    <t>SCP-006, STK-004, CON-005, CON-010, CON-018</t>
  </si>
  <si>
    <t>The system will return a filtered or sorted staff request list within 2 seconds for 95% of queries against a data set of 10 000 requests.</t>
  </si>
  <si>
    <t>AC-NFR-2.2 — Then at least 95 return within 2 seconds.</t>
  </si>
  <si>
    <t>Data access — index-justified request-list queries</t>
  </si>
  <si>
    <t>All list queries index-backed (FR-4.4/4.5). 10 000 requests ≈ 44 MB, well inside 0.5 GB</t>
  </si>
  <si>
    <t>Baselined — assumption open (OI-10)</t>
  </si>
  <si>
    <t>OI-10; OI-10 (volume conflict; Atlas free-tier storage limit); OI-10 (storage half closed)</t>
  </si>
  <si>
    <t>NFR-2.3</t>
  </si>
  <si>
    <t>SCP-011, STK-005, CON-005</t>
  </si>
  <si>
    <t>The system will render the management view within 5 seconds for 95% of requests against 12 months of request data.</t>
  </si>
  <si>
    <t>AC-NFR-2.3 — Then at least 95 render within 5 seconds.</t>
  </si>
  <si>
    <t>Reporting — reportingCounts projection (DEC-011)</t>
  </si>
  <si>
    <t>12-month aggregation on {campusId, submittedAt, categoryId}; anonymised requests remain countable</t>
  </si>
  <si>
    <t>NFR-2.4</t>
  </si>
  <si>
    <t>CON-010, STK-010, CON-005, STK-005</t>
  </si>
  <si>
    <t>The system will sustain 100 concurrent authenticated users with no failed request and no unhandled server error.</t>
  </si>
  <si>
    <t>AC-NFR-2.4 — Then no request failed and no unhandled server error was recorded.</t>
  </si>
  <si>
    <t>Physical tier 2 — stateless application process</t>
  </si>
  <si>
    <t>~9 ops per transition vs 100 ops/s ceiling ≈ 11 transitions/s sustained. Driver pool ≤ 50 per process against the 500-connection limit</t>
  </si>
  <si>
    <t>RSK-019; DEC-010 upgrade trigger</t>
  </si>
  <si>
    <t>NFR-2.5</t>
  </si>
  <si>
    <t>STK-005, CON-003</t>
  </si>
  <si>
    <t>The system will be available for at least 99% of the campus operating window of 07:00 to 18:00 on weekdays, measured monthly.</t>
  </si>
  <si>
    <t>AC-NFR-2.5 — Then the result is at least 99%.</t>
  </si>
  <si>
    <t>Physical tier 2 — single application instance (RSK-017)</t>
  </si>
  <si>
    <t>Free cluster: 3-node replica set (node failure = election), but no SLA. App-host SPOF per DEC-003</t>
  </si>
  <si>
    <t>Baselined — assumption open (OI-04)</t>
  </si>
  <si>
    <t>OI-04; DEC-003</t>
  </si>
  <si>
    <t>NFR-3.1</t>
  </si>
  <si>
    <t>CON-006</t>
  </si>
  <si>
    <t>The system will store user authentication credentials only as salted, computationally slow one-way hashes, and will hold no reversible representation of a password.</t>
  </si>
  <si>
    <t>AC-NFR-3.1 — Then the password appears only as a salted hash from a recognised slow hashing function and the plaintext appears nowhere.</t>
  </si>
  <si>
    <t>Identity &amp; Access — credential hashing (planned)</t>
  </si>
  <si>
    <t>users.passwordHash (select:false) holds an argon2id/bcrypt encoded hash only; no reversible credential field exists</t>
  </si>
  <si>
    <t>NFR-3.2</t>
  </si>
  <si>
    <t>CON-006, CON-007</t>
  </si>
  <si>
    <t>The system will transmit all client-server traffic over TLS version 1.2 or higher and will refuse unencrypted connections.</t>
  </si>
  <si>
    <t>AC-NFR-3.2 — Then the connection is refused or redirected to TLS 1.2 or higher.</t>
  </si>
  <si>
    <t>Tier boundaries — TLS at Nginx (tier 1→2) and driver TLS (tier 2→3)</t>
  </si>
  <si>
    <t>No application-level persistence consequence. Atlas enforces TLS on every driver connection; free clusters have no private endpoint, so DB traffic crosses the internet under TLS (residual, DEC-003)</t>
  </si>
  <si>
    <t>DEC-002 - MERN: MongoDB Atlas, Express, React, Node.js | DEC-003 - TLS terminated at the application host</t>
  </si>
  <si>
    <t>DEC-003</t>
  </si>
  <si>
    <t>NFR-3.3</t>
  </si>
  <si>
    <t>CON-019, STK-010, DEC-004, CON-006, CFL-002, CON-012</t>
  </si>
  <si>
    <t>The system will enforce every authorisation rule at the server on each request, at every entry point including endpoints not reachable through the user interface, and will not treat the absence of a user interface control as an access restriction.</t>
  </si>
  <si>
    <t>AC-NFR-3.3 — Then the server refuses the operation.</t>
  </si>
  <si>
    <t>Identity &amp; Access — route guard src/middleware/authorise.js (presentation) + access rule set src/domain/accessRules.js (application), DEC-012; route-table test tests/authorisationGuard.test.js</t>
  </si>
  <si>
    <t>Storage-level counterpart to the guard: app DB user civicconnect-app cannot update/delete requestHistory or auditLog</t>
  </si>
  <si>
    <t>DEC-015: the finite endpoint table is the "every entry point" checklist [further design entries pending - criterion E]</t>
  </si>
  <si>
    <t>DEC-004; CFL-002; RSK-005; RSK-009; condition C-01; DEC-012, DEC-015</t>
  </si>
  <si>
    <t>NFR-3.4</t>
  </si>
  <si>
    <t>The system will terminate an authenticated session after 30 minutes without user activity and will require re-authentication.</t>
  </si>
  <si>
    <t>AC-NFR-3.4 — Then the system requires re-authentication before proceeding.</t>
  </si>
  <si>
    <t>NFR-3.5</t>
  </si>
  <si>
    <t>CON-006, Master Brief s.9</t>
  </si>
  <si>
    <t>The system will hold no password, API key, token or connection secret at any commit in the source repository.</t>
  </si>
  <si>
    <t>AC-NFR-3.5 — Then no password, API key, token or connection secret is reported.</t>
  </si>
  <si>
    <t>Repository — environment configuration outside the repo; CI secret scan (#52)</t>
  </si>
  <si>
    <t>Connection URIs only in /etc/civicconnect/*.env and CI secrets; scripts/atlas/ config in the repo contains no credentials</t>
  </si>
  <si>
    <t>DEC-002 - MERN: MongoDB Atlas, Express, React, Node.js | Secrets held as environment configuration, not in the repository</t>
  </si>
  <si>
    <t>NFR-3.6</t>
  </si>
  <si>
    <t>CON-007, SCP-008, STK-009</t>
  </si>
  <si>
    <t>The system will make the acting user, action and timestamp of every status transition and assignment retrievable for audit by an authorised user.</t>
  </si>
  <si>
    <t>AC-NFR-3.6 — Then the acting user, action and timestamp of each are returned.</t>
  </si>
  <si>
    <t>Lifecycle &amp; Work Record — history read; auditLog in the data store</t>
  </si>
  <si>
    <t>Within retention: hist.actorId/actorRole/occurredAt. Beyond it: auditLog (index {requestId, occurredAt}) for 90 days</t>
  </si>
  <si>
    <t>NFR-1.7</t>
  </si>
  <si>
    <t>CON-012, STK-010, CON-005</t>
  </si>
  <si>
    <t>The system will implement a layered architecture in which presentation components do not reference data-access components directly, and every dependency crosses exactly one layer boundary in one direction.</t>
  </si>
  <si>
    <t>AC-NFR-1.7 — Then no presentation component references a data-access component, and every inter-layer dependency crosses exactly one boundary in one direction.</t>
  </si>
  <si>
    <t>ASR-05 maintainability</t>
  </si>
  <si>
    <t>All layers — closed single-boundary dependency rule (§6A.5); automated check planned in CI</t>
  </si>
  <si>
    <t>Repositories are the only data-access layer; routes and middleware never import models (asserted in review, to be linted in C's CI)</t>
  </si>
  <si>
    <t>NFR-1.8</t>
  </si>
  <si>
    <t>CON-016, CON-006, CON-007, STK-010</t>
  </si>
  <si>
    <t>The system will maintain separate database schemas for development, test, staging and production, with no shared data between them, and will apply every schema change through a scripted repeatable migration rather than manual alteration.</t>
  </si>
  <si>
    <t>AC-NFR-1.8 — Then each holds a separate schema, no environment reads another's data, and every schema change is traceable to a migration script rather than a manual alteration.</t>
  </si>
  <si>
    <t>Physical tier 3 — database per environment; configuration loading (data access)</t>
  </si>
  <si>
    <t>Schema migration artefact; separate schema per environment (NFR-1.8)</t>
  </si>
  <si>
    <t>DEC-002 - MERN: MongoDB Atlas, Express, React, Node.js | DEC-003 - Hostinger environments; Atlas database per environment</t>
  </si>
  <si>
    <t>NFR-1.9</t>
  </si>
  <si>
    <t>CON-015, CON-006, SCP-008, STK-010</t>
  </si>
  <si>
    <t>The system will hold every database schema change as an identifiable, ordered, version-controlled migration script in the team repository, and will record every modification to a request, its status or its assignment through database-level triggers that the application cannot bypass.</t>
  </si>
  <si>
    <t>AC-NFR-1.9 — Then a trigger-written audit row exists for that modification, and the migration script that created the trigger is present and ordered in the repository.</t>
  </si>
  <si>
    <t>Data access — versioned migration scripts; data store — Atlas triggers</t>
  </si>
  <si>
    <t>Database-level audit via Atlas managed triggers (DEC-002); trigger definition held in scripts/atlas/app/triggers/, full_document:false, unattributed writes flagged (actorSource:'unattributed')</t>
  </si>
  <si>
    <t>DEC-002 - MERN: MongoDB Atlas, Express, React, Node.js | Atlas managed database triggers satisfy the CON-015 mechanism</t>
  </si>
  <si>
    <t>NFR-1.10</t>
  </si>
  <si>
    <t>CON-017, SCP-007, SCP-008, STK-010</t>
  </si>
  <si>
    <t>The system will execute every operation that writes to more than one table inside a single transaction, such that a failure at any point commits no partial change.</t>
  </si>
  <si>
    <t>Application layer — unit of work src/infrastructure/unitOfWork.js (DEC-016)</t>
  </si>
  <si>
    <t>Txn encloses req + hist (+ counters); auditLog eventually consistent (≤ 60 s) via trigger; notifications/counts after commit</t>
  </si>
  <si>
    <t>DEC-002 - MERN: MongoDB Atlas, Express, React, Node.js | Atlas replica set required for multi-document transactions</t>
  </si>
  <si>
    <t>NFR-1.11</t>
  </si>
  <si>
    <t>CON-014, CON-005, CON-007, STK-010</t>
  </si>
  <si>
    <t>The system will emit a structured performance log entry for every request-handling operation, recording the operation, its duration in milliseconds and its outcome, and containing no personal information.</t>
  </si>
  <si>
    <t>AC-NFR-1.11 — Then each operation has one structured entry recording operation, duration in milliseconds and outcome, and no entry contains a name, e-mail address, student number or free-text description.</t>
  </si>
  <si>
    <t>Data access layer — performance logger excluding personal information (planned)</t>
  </si>
  <si>
    <t>Not stored in MongoDB: structured JSON to journald, 30-day rotation, no personal information (purpose D)</t>
  </si>
  <si>
    <t>OI-06; DEC-017</t>
  </si>
  <si>
    <t>CON-018, CON-010, STK-010</t>
  </si>
  <si>
    <t>Data access — index definitions in the models (data baseline)</t>
  </si>
  <si>
    <t>NFR-2.7</t>
  </si>
  <si>
    <t>CON-010, STK-010, CON-018</t>
  </si>
  <si>
    <t>The system will hold no user session state in application process memory and will perform no unindexed full-table scan on any request-list or reporting query, so that capacity can be raised toward 1 000 users without redesign.</t>
  </si>
  <si>
    <t>AC-NFR-2.7 — Then no user session state is held in process memory and no query plan contains a full-table scan on the request or audit tables.</t>
  </si>
  <si>
    <t>Physical tier 2 — no in-process session state; sessions in MongoDB (DEC-003)</t>
  </si>
  <si>
    <t>Indexing strategy; every index justified against a named query (NFR-2.6)</t>
  </si>
  <si>
    <t>DEC-002 - MERN: MongoDB Atlas, Express, React, Node.js | Session state held outside the application process</t>
  </si>
  <si>
    <t>NFR-3.7</t>
  </si>
  <si>
    <t>CON-019, CON-007, STK-010</t>
  </si>
  <si>
    <t>The system will encrypt personal information at rest using a current recognised algorithm, in addition to the transport encryption required by NFR-3.2.</t>
  </si>
  <si>
    <t>AC-NFR-3.7 — Then the personal information is not readable as plaintext.</t>
  </si>
  <si>
    <t>Physical tier 3 — Atlas encryption at rest (evidence item open)</t>
  </si>
  <si>
    <t>Encryption at rest for personal information (NFR-3.7); Atlas at-rest volume encryption - sufficiency against CON-019 is an open evidence item (DEC-003)</t>
  </si>
  <si>
    <t>NFR-4.1</t>
  </si>
  <si>
    <t>CON-007, STK-009, CFL-004</t>
  </si>
  <si>
    <t>The system will capture only the personal information necessary to submit, assign, resolve and report on a service request.</t>
  </si>
  <si>
    <t>AC-NFR-4.1 — Then every field maps to at least one of those purposes and no field maps to none.</t>
  </si>
  <si>
    <t>Requests — Request model captures only FR-2.2 fields plus submitter</t>
  </si>
  <si>
    <t>Field inventory: every personal field is enumerated in REQUEST_PERSONAL_FIELDS / HISTORY_PERSONAL_FIELDS and mapped to a purpose in DEC-017. title removed (no purpose)</t>
  </si>
  <si>
    <t>CFL-004; DEC-017</t>
  </si>
  <si>
    <t>NFR-4.2</t>
  </si>
  <si>
    <t>CFL-004, DEC-005, CON-007</t>
  </si>
  <si>
    <t>The system will retain identifiable request data for no longer than one month from closure of the request, and will retain aggregated non-identifying statistics beyond that period.</t>
  </si>
  <si>
    <t>Requests — PROC-001 anonymisation (scripts/retention); Reporting keeps non-identifying counts</t>
  </si>
  <si>
    <t>PROC-001 twice monthly, eligibility ≥ 14 days after closure.closedAt, so every request is anonymised within 14–30 days; nulls the listed fields, preserves aggregates</t>
  </si>
  <si>
    <t>DEC-002 - MERN: MongoDB Atlas, Express, React, Node.js | DEC-005 - one-month retention</t>
  </si>
  <si>
    <t>Baselined - assumption open (OI-12)</t>
  </si>
  <si>
    <t>NFR-4.3</t>
  </si>
  <si>
    <t>CON-007, STK-009</t>
  </si>
  <si>
    <t>The system will present, at the point of submission, a notice stating what personal information is collected, the purpose of collection and who may access it.</t>
  </si>
  <si>
    <t>AC-NFR-4.3 — Then a notice stating what personal information is collected, why, and who may access it is displayed before the requester can submit.</t>
  </si>
  <si>
    <t>Presentation — submission notice</t>
  </si>
  <si>
    <t>No persistence consequence. The notice is presentation content; no consent record is required for this purpose</t>
  </si>
  <si>
    <t>NFR-4.4</t>
  </si>
  <si>
    <t>STK-006, CFL-002, CON-007</t>
  </si>
  <si>
    <t>The system will restrict access to security-category request detail to users holding the Security Officer role, in accordance with the confidentiality expectation recorded in CFL-002.</t>
  </si>
  <si>
    <t>AC-NFR-4.4 — Then no description, comment or action content is returned.</t>
  </si>
  <si>
    <t>As FR-1.5: securityCategory snapshot + serialiser field filtering</t>
  </si>
  <si>
    <t>CFL-002; RSK-005; RSK-009; condition C-01; CFL-002, C-01</t>
  </si>
  <si>
    <t>NFR-4.5</t>
  </si>
  <si>
    <t>STK-009, CON-007</t>
  </si>
  <si>
    <t>The system will allow the Information Officer to retrieve a record of which users accessed a given request's personal information.</t>
  </si>
  <si>
    <t>AC-NFR-4.5 — Then both accesses are listed with the user, date and time.</t>
  </si>
  <si>
    <t>ASR-03 personal-information protection; ASR-02 lifecycle integrity and audit</t>
  </si>
  <si>
    <t>Identity &amp; Access — personal-information access log (planned)</t>
  </si>
  <si>
    <t>App-written auditLog entries origin:'access', eventType:'access.read' when personal detail is served; 90 days</t>
  </si>
  <si>
    <t>DEC-017; RSK-019 (each read adds a write)</t>
  </si>
  <si>
    <t>Column</t>
  </si>
  <si>
    <t>Populated</t>
  </si>
  <si>
    <t>Outstanding</t>
  </si>
  <si>
    <t>Owner of the outstanding work</t>
  </si>
  <si>
    <t>Complete at v0.6 (Christiaan) — 58 rows linked to ASR-01–06; 16 marked 'No architectural driver'; 5 'Screened out' per PED §6A.3.2</t>
  </si>
  <si>
    <t>Complete</t>
  </si>
  <si>
    <t>DEC-015: 401 problem response, no request data in body. DEC-018: local email and password (§1); server-side session identified by the __Host-sid cookie (§3); 401 decided only by the route guard, the session middleware only resolves the actor (§4); POST /api/v1/sessions and DELETE /api/v1/sessions/current (§5) [authentication prompt (client) pending - criterion E]</t>
  </si>
  <si>
    <t>DEC-015; DEC-018; RSK-021</t>
  </si>
  <si>
    <t>Identity &amp; Access — revocation enforced by session resolution, authService.resolve() (application) against users.status and users.sessionEpoch via userRepository (data access); user administration service (application) not yet built; first Administrator created by scripts/admin/create-user.js (operations script)</t>
  </si>
  <si>
    <t>DEC-018 §3: revocation through users.sessionEpoch stored on each session and users.status, checked on every request, so revocation terminates existing sessions at their next request; §7: first Administrator created by an operations script, no HTTP bootstrap [Administrator create, amend and revoke interface pending - criterion E]</t>
  </si>
  <si>
    <t>DEC-018</t>
  </si>
  <si>
    <t>DEC-018 §6: authentication attempts and logout written to auditLog with origin 'auth' through the insert-only auditRepository.recordSecurityEvent(), minimised under M-1 (DEC-017), the email never recorded [further design entries pending - criterion E]</t>
  </si>
  <si>
    <t>Presentation — health route src/routes/healthRoutes.js (public, in PUBLIC_ROUTES) → healthService (application) → database ping, src/infrastructure/database.js (infrastructure)</t>
  </si>
  <si>
    <t>DEC-015: GET /api/v1/health (public, in PUBLIC_ROUTES); 503 on DB failure. DEC-018 §5: public by NFR-1.6; database ping only, no collection read and no personal data; 200 or 503</t>
  </si>
  <si>
    <t>DEC-015; DEC-018</t>
  </si>
  <si>
    <t>Identity &amp; Access — session middleware src/middleware/session.js (presentation) → authService.resolve() idle check (application) → sessionRepository (data access); 401 from the route guard src/middleware/authorise.js</t>
  </si>
  <si>
    <t>Sessions in the sessions collection (DB-01 v0.3 §3.9); expiry enforced by the application against lastSeenAt; the TTL index removes documents afterwards</t>
  </si>
  <si>
    <t>DEC-018 §3: idle expiry checked in the application against lastSeenAt, refreshed at most once per 60 s; a session is refused 29–30 minutes after the last request and is never valid after 30 (tolerance stated identically in DB-01 v0.3 §3.9); no absolute lifetime; §4: 401 decided by the route guard</t>
  </si>
  <si>
    <t>Complete at v0.6 (Christiaan) — module from PED §6A.6, layer/component from §6A.5 and the application slice. v0.9 (Ethan): FR-1.4, NFR-1.6 and NFR-3.4 updated from "(planned)" to the composed application; Christiaan notified</t>
  </si>
  <si>
    <t>Complete at v0.5 (Robert) - 4 rows explicit 'no persistence consequence'. v0.9 (Ethan): NFR-3.4 corrected to DB-01 v0.3 §3.9 (expiry enforced by the application, not the TTL index); Robert notified</t>
  </si>
  <si>
    <t>Ethan and Robert - criterion E. v0.5: DEC-015/016/017 entries added on 18 rows; DEC-011/012 entries still pending. v0.9 (Ethan): counting rule stated. Up to v0.8, every row carrying a pending marker ("[further design entries pending - criterion E]" or "Pending - initial design decisions") was counted as not populated, even where it already cited a decision, which is why Populated stood at 0. From v0.9 the marker means the row's design is genuinely incomplete, and a row is counted as populated when its cited decisions fully specify it and it carries no marker. DEC-018 entries were added on FR-1.1, FR-1.4, NFR-1.4, NFR-1.6 and NFR-3.4. NFR-1.6 and NFR-3.4 are fully specified by DEC-015 and DEC-018 and no longer carry the marker, so Populated moves from 0 to 2. FR-1.1, FR-1.4 and NFR-1.4 keep the marker for the design they still lack. The other rows carrying the marker were not re-assessed in v0.9</t>
  </si>
  <si>
    <t>Percentage Complete</t>
  </si>
  <si>
    <t>Overall column completeness (all seven columns)</t>
  </si>
  <si>
    <t>Expected result (derived from the AC, before execution)</t>
  </si>
  <si>
    <t>Implemented: the session middleware refuses an unauthenticated read or list with 401 and no request data; the client shows the sign-in prompt in place on every gated address (PR #136: 6af312d, e9a75e1).</t>
  </si>
  <si>
    <t>Tested: tests/requestRead.test.js, tests/requestList.test.js; E2E-1.</t>
  </si>
  <si>
    <t>Implemented: user administration (POST and PUT /api/v1/users, userAdminService, Admin screen): a user holds one or more FR-1.2 roles, and a save with no role is refused with 400 "A role is required" (PR #136: 74c02b8, 74287c6, 1704220).</t>
  </si>
  <si>
    <t>Tested: tests/userAdmin.test.js, tests/models.test.js; E2E-7; NV-146.</t>
  </si>
  <si>
    <t>Implemented: the route guard (DEC-012 point 1) and the service (point 2) refuse before any write, and every refused attempt is recorded with the actor's id and role, the operation, the target and the time (accessAuditService) (PR #136: a7053fb).</t>
  </si>
  <si>
    <t>Tested: tests/refusalRecording.test.js, tests/authorisationGuard.test.js; E2E-2a, E2E-2b; API integration cases; NV-118, NV-119.</t>
  </si>
  <si>
    <t>Implemented: revocation (POST /api/v1/users/{id}/revocation) sets the account to revoked and increments sessionEpoch, so existing sessions end; a revoked user is listed as Revoked for the Administrator (PR #136: 74c02b8, 74287c6, 1704220).</t>
  </si>
  <si>
    <t>Tested: tests/userAdmin.test.js, tests/userListRevoked.test.js, tests/authService.test.js; E2E-7; NV-145, NV-162.</t>
  </si>
  <si>
    <t>Partially implemented: per-role field selection on read, list, history and report (requestQueryService, requestListService, requestHistoryService); restricted fields never reach a viewer without the Security Officer role; per-viewer API responses carry Cache-Control: no-store (DEF-024) (PR #136: f7ca667, 74287c6, 1704220).</t>
  </si>
  <si>
    <t>Tested: tests/requestRead.test.js, tests/requestHistory.test.js, tests/apiCaching.test.js; E2E-8, E2E-10; NV-152, NV-126, NV-161.</t>
  </si>
  <si>
    <t>Implemented: submission (POST /api/v1/requests: submissionRoutes, requestSubmissionService) stores the request and returns its reference; New request screen (PR #136: 1b07572, e9a75e1).</t>
  </si>
  <si>
    <t>Tested: tests/requestSubmission.test.js; E2E-3; NV-101.</t>
  </si>
  <si>
    <t>AC-FR-2.2a: Implemented: the three FR-2.2 fields (category, location, description) are required by the schema and by the submission service; a submission with all three is accepted (PR #136: 1b07572, e9a75e1). AC-FR-2.2b: Implemented: a submission missing any of the three is refused with 400 naming the field, and nothing is stored; the form shows the field message (PR #136: 1b07572, e9a75e1, 24b12a4).</t>
  </si>
  <si>
    <t>AC-FR-2.2a: Tested: tests/requestSubmission.test.js, tests/models.test.js; E2E-3. AC-FR-2.2b: Tested: tests/requestSubmission.test.js; E2E-3.</t>
  </si>
  <si>
    <t>Implemented: a deactivated or unknown category is refused with 422 and nothing is stored; only active categories are offered on the form (PR #136: 1b07572, 74c02b8).</t>
  </si>
  <si>
    <t>Tested: tests/requestSubmission.test.js, tests/categoryAdmin.test.js; E2E-7.</t>
  </si>
  <si>
    <t>Implemented: a requester adds further detail to their own request (POST /api/v1/requests/{id}/details), stored as a history entry with author, date and time (PR #136: 82f41c4, e9a75e1).</t>
  </si>
  <si>
    <t>Tested: tests/requestHistory.test.js; E2E-13; NV-133.</t>
  </si>
  <si>
    <t>Implemented: the submitting user and the submission date and time are stored on every request (submittedById, requesterId, submittedAt) (PR #136: 1b07572).</t>
  </si>
  <si>
    <t>Tested: tests/requestSubmission.test.js; E2E-3, E2E-11.</t>
  </si>
  <si>
    <t>Implemented: a unique, immutable reference CC-&lt;year&gt;-&lt;sequence&gt; from a counter per campus and year, with the unique index on requests.reference; shown on the confirmation and every view (PR #136: 1b07572, 7766eec).</t>
  </si>
  <si>
    <t>Tested: tests/referenceSequence.test.js, tests/requestSubmission.test.js; E2E-3; NV-150.</t>
  </si>
  <si>
    <t>Implemented: the requester's own list (GET /api/v1/requests, own scope) returns their requests and no one else's; My requests screen (PR #136: 6af312d, e9a75e1).</t>
  </si>
  <si>
    <t>Tested: tests/requestList.test.js; E2E-3; NV-109.</t>
  </si>
  <si>
    <t>Implemented: the requester's list and detail show the current status (PR #136: 6af312d, e9a75e1).</t>
  </si>
  <si>
    <t>Tested: tests/requestList.test.js; E2E-3.</t>
  </si>
  <si>
    <t>Implemented: the history read (GET /api/v1/requests/{id}/history) lists each status change with its date for the requester, oldest first (PR #136: 82f41c4, f26722d).</t>
  </si>
  <si>
    <t>Tested: tests/requestHistory.test.js; E2E-4; NV-159.</t>
  </si>
  <si>
    <t>Implemented: the notification subscriber is registered (DEC-011) and creates an in-application notification for the requester on each status change; GET /api/v1/me/notifications reads them (PR #136: 82f41c4).</t>
  </si>
  <si>
    <t>Tested: tests/requestHistory.test.js, tests/composition.test.js; NV-131, NV-132.</t>
  </si>
  <si>
    <t>Implemented: visibleStatusFor maps the internal status for a requester on read, list, history and notifications (PR #136: 6af312d, 82f41c4, f7ca667).</t>
  </si>
  <si>
    <t>Tested: tests/requestRead.test.js, tests/requestList.test.js, tests/requestHistory.test.js; E2E-8; NV-112, NV-115, NV-131.</t>
  </si>
  <si>
    <t>Implemented: a requester asking for another person's request is refused with no request data (read, history and list) (PR #136: 6af312d, f7ca667).</t>
  </si>
  <si>
    <t>Tested: tests/requestRead.test.js, tests/requestList.test.js, tests/requestHistory.test.js; NV-149.</t>
  </si>
  <si>
    <t>Implemented: the staff queue (GET /api/v1/requests, staff scope) lists every request in the user's authorised categories, using the same rule as the read (mayViewRequest); Request queue screen (PR #136: 6af312d, e9a75e1).</t>
  </si>
  <si>
    <t>Tested: tests/requestList.test.js; E2E-4; NV-108.</t>
  </si>
  <si>
    <t>Implemented: the request detail read (GET /api/v1/requests/{id}) and page show category, location, description, status, submission details, assignment, comment history and action history (PR #136: f7ca667, e9a75e1, 83c3b3f).</t>
  </si>
  <si>
    <t>Tested: tests/requestRead.test.js, tests/requestHistory.test.js; E2E-11; NV-152.</t>
  </si>
  <si>
    <t>Implemented: search (POST /api/v1/requests/search, staff only) by reference and through the declared text index on description and location (PR #136: 6af312d, e9a75e1).</t>
  </si>
  <si>
    <t>Tested: tests/requestList.test.js; E2E-12; NV-113, NV-114.</t>
  </si>
  <si>
    <t>Implemented: the queue filters by status, category, assigned user and date range (PR #136: 6af312d, e9a75e1).</t>
  </si>
  <si>
    <t>Tested: tests/requestList.test.js.</t>
  </si>
  <si>
    <t>Implemented: the queue sorts by submission date (most recent first by default) (PR #136: 6af312d).</t>
  </si>
  <si>
    <t>Implemented: the unassigned set (assigneeId=none) lists the requests no one owns in the user's authorised categories (PR #136: 6af312d, e9a75e1).</t>
  </si>
  <si>
    <t>Tested: tests/requestList.test.js; E2E-13.</t>
  </si>
  <si>
    <t>Implemented: assignment (POST /api/v1/requests/{id}/assignments) by a Coordinator or Manager to an eligible user (decision #10: Security Officer for a security-category request, Technician otherwise); permittedAssignment.assigneeRoles drives the picker (PR #136: a7053fb, 74287c6, 949cfdf).</t>
  </si>
  <si>
    <t>Tested: tests/assignmentService.test.js, tests/assignmentSecurityRule.test.js, tests/permittedAssignment.test.js; E2E-4; NV-120, NV-122, NV-163, NV-168.</t>
  </si>
  <si>
    <t>Implemented: a Technician (or a Security Officer on a security request) accepts an unassigned request in their categories (PR #136: a7053fb, 74287c6).</t>
  </si>
  <si>
    <t>Tested: tests/assignmentService.test.js, tests/assignmentSecurityRule.test.js; E2E-13; NV-163.</t>
  </si>
  <si>
    <t>Implemented: an accept on a request someone already owns is refused, the owner is unchanged and the attempt is recorded (PR #136: a7053fb).</t>
  </si>
  <si>
    <t>Tested: tests/assignmentService.test.js, tests/refusalRecording.test.js; NV-116, NV-117, NV-118.</t>
  </si>
  <si>
    <t>Implemented: every assignment and reassignment appends a history entry with the acting user, date and time, and the previous and new owner (PR #136: a7053fb, 82f41c4).</t>
  </si>
  <si>
    <t>Tested: tests/assignmentService.test.js, tests/requestHistory.test.js; E2E-4; NV-121, NV-124.</t>
  </si>
  <si>
    <t>Implemented: reassignment by a Coordinator or Manager while the request is Assigned, In Progress or On Hold (decision of 17/10/2026, OI-15) (PR #136: a7053fb, 74287c6).</t>
  </si>
  <si>
    <t>Tested: tests/assignmentService.test.js, tests/assignmentStatusRule.test.js; NV-124, NV-164, NV-165.</t>
  </si>
  <si>
    <t>Implemented: STATUS holds exactly the seven FR-6.1 values (shared/domainValues.js, re-exported by src/models/_shared.js) (PR #136: e9a75e1).</t>
  </si>
  <si>
    <t>Tested: tests/domainValues.test.js, tests/requestStatus.test.js, tests/clientBoundary.test.js; NV-151.</t>
  </si>
  <si>
    <t>Implemented: the TRANSITIONS table and checkTransition (src/domain/requestStatus.js) refuse a move the model does not define, and the status is unchanged; the Update status panel offers only permittedTransitions (PR #136: f7ca667).</t>
  </si>
  <si>
    <t>Tested: tests/requestStatus.test.js, tests/statusTransitionService.test.js, tests/dec015Conformance.test.js; E2E-4; API integration cases; NV-153.</t>
  </si>
  <si>
    <t>Implemented: each transition appends a requestHistory entry (actor, previous and new status, time) inside the same transaction as the status change (DEC-016) (PR #136: 804138f, e973a9d).</t>
  </si>
  <si>
    <t>Tested: tests/statusTransitionService.test.js, tests/models.test.js, tests/integration/transactionBoundary.integration.test.js; E2E-1, E2E-4; API integration cases; NV-102, NV-158.</t>
  </si>
  <si>
    <t>Implemented: a transition by a role the move does not allow is refused (403 FORBIDDEN, DEC-015 §4) and the status is unchanged (PR #136: 804138f).</t>
  </si>
  <si>
    <t>Tested: tests/statusTransitionService.test.js, tests/dec015Conformance.test.js, tests/integration/wrongRoleTransition.integration.test.js; E2E-2a, E2E-2b; API integration cases; NV-134.</t>
  </si>
  <si>
    <t>Implemented: In Progress to Resolved requires resolution information; refused without it.</t>
  </si>
  <si>
    <t>Tested: tests/requestStatus.test.js, tests/statusTransitionService.test.js; E2E-4.</t>
  </si>
  <si>
    <t>Implemented: Closed and Rejected require a recorded reason; refused without it; the reason is stored and shown in the history (PR #136: 804138f).</t>
  </si>
  <si>
    <t>Tested: tests/statusTransitionService.test.js, tests/requestStatus.test.js; E2E-1, E2E-4, E2E-9; NV-141.</t>
  </si>
  <si>
    <t>Implemented: append-only history: no route alters or deletes an entry (layer 1), schema middleware refuses update, delete and bulkWrite (layer 2), the Atlas role allows find and insert only (layer 3) (PR #136: 82f41c4).</t>
  </si>
  <si>
    <t>Tested: tests/models.test.js, tests/requestHistory.test.js; NV-128, NV-130.</t>
  </si>
  <si>
    <t>Implemented: a staff user posts a comment (POST /api/v1/requests/{id}/comments), stored with author, date and time (PR #136: 82f41c4, e9a75e1).</t>
  </si>
  <si>
    <t>Tested: tests/requestHistory.test.js; E2E-11, E2E-13.</t>
  </si>
  <si>
    <t>Implemented: a staff user records an action taken (POST /api/v1/requests/{id}/actions) (PR #136: 82f41c4, e9a75e1).</t>
  </si>
  <si>
    <t>Tested: tests/requestHistory.test.js; E2E-11.</t>
  </si>
  <si>
    <t>Implemented: each comment and action entry carries the authoring user, the date and time (PR #136: 82f41c4).</t>
  </si>
  <si>
    <t>Tested: tests/requestHistory.test.js.</t>
  </si>
  <si>
    <t>Implemented: the history read lists entries in ascending order of requestVersion (PR #136: 82f41c4).</t>
  </si>
  <si>
    <t>Tested: tests/requestHistory.test.js; NV-127.</t>
  </si>
  <si>
    <t>Implemented: the resolution is stored with the Resolved transition and returned by the read for the requester and staff (PR #136: 804138f, f7ca667).</t>
  </si>
  <si>
    <t>Tested: tests/requestRead.test.js, tests/statusTransitionService.test.js; E2E-4.</t>
  </si>
  <si>
    <t>Implemented: the management view (GET /api/v1/reports/summary, reportService, Management screen) counts open requests by status, computed from requests (PR #136: 74c02b8, e9a75e1).</t>
  </si>
  <si>
    <t>Tested: tests/managementView.test.js; E2E-5; NV-142.</t>
  </si>
  <si>
    <t>Implemented: the management view counts requests by category (PR #136: 74c02b8, e9a75e1).</t>
  </si>
  <si>
    <t>Tested: tests/managementView.test.js; E2E-5.</t>
  </si>
  <si>
    <t>Implemented: overdue requests identified against the category's target resolution time, with "open" read as ending at Resolved (decision D4, recorded assumption) (PR #136: 74c02b8, 7766eec).</t>
  </si>
  <si>
    <t>Tested: tests/managementView.test.js.</t>
  </si>
  <si>
    <t>Implemented: the Manager sets a category's target resolution time (PUT /api/v1/categories/{id}/target); it is stored, shown on the Categories page and used by the overdue rule (PR #136: 74c02b8, 7766eec, 74287c6).</t>
  </si>
  <si>
    <t>Tested: tests/managementView.test.js, tests/categoryTargetVisibility.test.js; NV-166.</t>
  </si>
  <si>
    <t>Implemented: the management view filters by date range and category (PR #136: 74c02b8, e9a75e1).</t>
  </si>
  <si>
    <t>Implemented: security-category requests are counted in the aggregates with no detail returned (PR #136: 74c02b8).</t>
  </si>
  <si>
    <t>Tested: tests/managementView.test.js; NV-144.</t>
  </si>
  <si>
    <t>Implemented: the Administrator deactivates a category (POST /api/v1/categories/{id}/deactivation); it is no longer offered on the New request form and is listed as Deactivated for the Administrator (PR #136: 74c02b8, 1704220, b16d339, 24b12a4).</t>
  </si>
  <si>
    <t>Tested: tests/categoryAdmin.test.js, tests/polishAssigneeAndCategories.test.js; E2E-7; NV-172.</t>
  </si>
  <si>
    <t>Not implemented: groups are not evaluated (TD-002).</t>
  </si>
  <si>
    <t>Not verified.</t>
  </si>
  <si>
    <t>Implemented: a category is never deleted: existing requests keep it and stay in the counts (PR #136: 74c02b8).</t>
  </si>
  <si>
    <t>Tested: tests/categoryAdmin.test.js, tests/managementView.test.js.</t>
  </si>
  <si>
    <t>Partially implemented: the client builds for current browsers; the E2E journeys run in four browser projects (e2e/playwright.config.js) (PR #136: 1a791ce, 09e6e6a).</t>
  </si>
  <si>
    <t>Tested: E2E-1, E2E-3, E2E-4, E2E-5.</t>
  </si>
  <si>
    <t>Implemented: responsive client at 360 px: the queue is laid out as cards and the status chips wrap below 40rem; every control at least 44 x 44 (PR #136: e9a75e1, 1691e0f, 6408ab7).</t>
  </si>
  <si>
    <t>Tested: E2E-6, E2E-13.</t>
  </si>
  <si>
    <t>Partially implemented: authentication attempts and refused operations are written to auditLog by the application; transitions and assignments rely on the Atlas trigger (PR #136: a7053fb).</t>
  </si>
  <si>
    <t>Tested: tests/authService.test.js, tests/refusalRecording.test.js.</t>
  </si>
  <si>
    <t>Not operated: no backup has run (DEC-010).</t>
  </si>
  <si>
    <t>Implemented: GET /api/v1/health returns the application status, database reachability and the release commit.</t>
  </si>
  <si>
    <t>Tested: tests/app.test.js, tests/release.test.js.</t>
  </si>
  <si>
    <t>Not measured.</t>
  </si>
  <si>
    <t>Tested: tests/passwordHasher.test.js, tests/userInitialPassword.test.js; NV-147.</t>
  </si>
  <si>
    <t>Implemented: the server refuses an operation a role may not perform on every route, whatever the client sends (DEC-012 points 1 and 2) (PR #136: a7053fb, 804138f).</t>
  </si>
  <si>
    <t>Tested: tests/authorisationGuard.test.js, tests/openapiRoutes.test.js; E2E-2a, E2E-2b; API integration cases; NV-101, NV-142, NV-143.</t>
  </si>
  <si>
    <t>Implemented: a session idle for 30 minutes is refused (authService against lastSeenAt; DEC-018 §3).</t>
  </si>
  <si>
    <t>Tested: tests/authService.test.js.</t>
  </si>
  <si>
    <t>Implemented: the full-history secret scan, including the text of Office documents, gates every PR.</t>
  </si>
  <si>
    <t>Implemented: the audit record of a request (acting user, action and time of each entry) from its history (PR #136: 82f41c4).</t>
  </si>
  <si>
    <t>Partially implemented: the CI layer check refuses a route or middleware file that imports a model or repository.</t>
  </si>
  <si>
    <t>Partially implemented: separate test and staging clusters (DEC-003 v0.4, v0.5).</t>
  </si>
  <si>
    <t>Defined, not deployed: the trigger and its function are defined in scripts/atlas/app/ but not deployed on either cluster.</t>
  </si>
  <si>
    <t>Partially implemented: unitOfWork.run() encloses the status update and the history append (DEC-016); events are published after commit (PR #136: 804138f, e973a9d).</t>
  </si>
  <si>
    <t>Tested: tests/statusTransitionService.test.js, tests/integration/transactionBoundary.integration.test.js; API integration cases; NV-102, NV-121.</t>
  </si>
  <si>
    <t>Partially implemented: one structured performance entry per operation with the route pattern and no personal information (src/middleware/performanceLog.js) (PR #136: 804138f, 74287c6).</t>
  </si>
  <si>
    <t>Tested: tests/performanceLogRoute.test.js, tests/dec015Conformance.test.js; NV-140, NV-167.</t>
  </si>
  <si>
    <t>Not met under the amended NFR-2.6 (CR-004): indexes declared in src/models and the data baseline index table (DB-01 v0.3).</t>
  </si>
  <si>
    <t>Not evidenced on the M0 tier.</t>
  </si>
  <si>
    <t>Recorded; the review is pending: the personal-information fields and their purposes are recorded in DEC-017 and DB-01.</t>
  </si>
  <si>
    <t>Built, not exercised: PROC-001 (scripts/retention/proc-001-anonymise.js) nulls personal fields of requests closed at least 14 days before the run.</t>
  </si>
  <si>
    <t>Implemented: the privacy notice is shown on the New request form before submission, with the approved wording (PR #136: e9a75e1, f26722d).</t>
  </si>
  <si>
    <t>Tested: E2E-3.</t>
  </si>
  <si>
    <t>Implemented: no description, comment or action content of a security-category request is returned to a user without the Security Officer role, on read, list, history and report (PR #136: 6af312d, 82f41c4, f7ca667).</t>
  </si>
  <si>
    <t>Tested: tests/requestRead.test.js, tests/requestList.test.js, tests/requestHistory.test.js; E2E-8; NV-152, NV-110, NV-111, NV-125, NV-144.</t>
  </si>
  <si>
    <t>Not implemented: no Information Officer role.</t>
  </si>
  <si>
    <t>E2E-1; tests/requestRead.test.js; tests/requestList.test.js.</t>
  </si>
  <si>
    <t>From AC-FR-1.1: the system returns no request data and presents the authentication prompt.</t>
  </si>
  <si>
    <t>E2E run 2 at 6408ab7, 56 of 56 in Chromium 156, Chrome 155, Edge 155 and Firefox 157 (Playwright's build), retries 0 (docs/evidence/M4-build/E2E_run_2026-10-17_final_four_browsers_run2.txt); npm test at the frozen build 6408ab7: 459 tests, 451 pass, 0 fail, 8 skipped (the integration cases, which skip without a database); CI run 39061540226 on PR #136 (45c6b06) green.</t>
  </si>
  <si>
    <t>Met (frozen build 6408ab7). E2E-1 opens a request signed out: no request data, the sign-in prompt shown.</t>
  </si>
  <si>
    <t>E2E-7; tests/userAdmin.test.js; tests/models.test.js.</t>
  </si>
  <si>
    <t>From AC-FR-1.2: the system rejects the save and reports that a role is required.</t>
  </si>
  <si>
    <t>E2E run 2 at 6408ab7, 56 of 56 in Chromium 156, Chrome 155, Edge 155 and Firefox 157 (Playwright's build), retries 0 (docs/evidence/M4-build/E2E_run_2026-10-17_final_four_browsers_run2.txt); npm test at the frozen build 6408ab7: 459 tests, 451 pass, 0 fail, 8 skipped (the integration cases, which skip without a database); CI run 39061540226 on PR #136 (45c6b06) green; NV-146 (docs/evidence/M4-build/).</t>
  </si>
  <si>
    <t>Met (frozen build 6408ab7). The refusal shown over HTTP (NV-146); E2E-7 creates a user and changes roles through the Admin screen.</t>
  </si>
  <si>
    <t>E2E-2a; E2E-2b; integration cases (tests/integration/); tests/refusalRecording.test.js; tests/authorisationGuard.test.js.</t>
  </si>
  <si>
    <t>From AC-FR-1.3: the system rejects the operation, makes no change to the request, and records the rejected attempt.</t>
  </si>
  <si>
    <t>E2E run 2 at 6408ab7, 56 of 56 in Chromium 156, Chrome 155, Edge 155 and Firefox 157 (Playwright's build), retries 0 (docs/evidence/M4-build/E2E_run_2026-10-17_final_four_browsers_run2.txt); API integration run 3 at 6408ab7, 40 of 40 on the test cluster (docs/evidence/M4-build/API_integration_run_2026-10-17_run3_frozen_build.txt); npm test at the frozen build 6408ab7: 459 tests, 451 pass, 0 fail, 8 skipped (the integration cases, which skip without a database); CI run 39061540226 on PR #136 (45c6b06) green; NV-118, NV-119 (docs/evidence/M4-build/).</t>
  </si>
  <si>
    <t>Met (frozen build 6408ab7). The recording is shown over HTTP with a faked audit repository, not read back from the cluster. TD-005 repaid.</t>
  </si>
  <si>
    <t>E2E-7; tests/userAdmin.test.js; tests/userListRevoked.test.js; tests/authService.test.js.</t>
  </si>
  <si>
    <t>From AC-FR-1.4: the account can no longer authenticate and its existing sessions are terminated.</t>
  </si>
  <si>
    <t>E2E run 2 at 6408ab7, 56 of 56 in Chromium 156, Chrome 155, Edge 155 and Firefox 157 (Playwright's build), retries 0 (docs/evidence/M4-build/E2E_run_2026-10-17_final_four_browsers_run2.txt); npm test at the frozen build 6408ab7: 459 tests, 451 pass, 0 fail, 8 skipped (the integration cases, which skip without a database); CI run 39061540226 on PR #136 (45c6b06) green; NV-145, NV-162 (docs/evidence/M4-build/).</t>
  </si>
  <si>
    <t>Met (frozen build 6408ab7). E2E-7 revokes a user: listed as Revoked, the open session ends, sign-in refused. DEF-025 (415 from the client) and DEF-026 (revoked users hidden) fixed.</t>
  </si>
  <si>
    <t>E2E-8; E2E-10; tests/requestRead.test.js; tests/requestHistory.test.js; tests/apiCaching.test.js.</t>
  </si>
  <si>
    <t>From AC-FR-1.5: the description, comment history and action history are absent from both the rendered page and the underlying response.</t>
  </si>
  <si>
    <t>E2E run 2 at 6408ab7, 56 of 56 in Chromium 156, Chrome 155, Edge 155 and Firefox 157 (Playwright's build), retries 0 (docs/evidence/M4-build/E2E_run_2026-10-17_final_four_browsers_run2.txt); npm test at the frozen build 6408ab7: 459 tests, 451 pass, 0 fail, 8 skipped (the integration cases, which skip without a database); CI run 39061540226 on PR #136 (45c6b06) green; NV-152, NV-126, NV-161 (docs/evidence/M4-build/).</t>
  </si>
  <si>
    <t>Partially Met (frozen build 6408ab7) (E. Lindsay, 17/10/2026): staff without the Security Officer role are refused the whole security-category request, wider than FR-1.5 (OI-17); whether the requester sees their own description is OI-16; DEC-012 point 3 (the serialiser) is not built. DEF-024 (S1, a per-viewer response reused from the browser cache) fixed.</t>
  </si>
  <si>
    <t>E2E-3; tests/requestSubmission.test.js.</t>
  </si>
  <si>
    <t>From AC-FR-2.1: the system stores a new request and returns its unique reference.</t>
  </si>
  <si>
    <t>E2E run 2 at 6408ab7, 56 of 56 in Chromium 156, Chrome 155, Edge 155 and Firefox 157 (Playwright's build), retries 0 (docs/evidence/M4-build/E2E_run_2026-10-17_final_four_browsers_run2.txt); npm test at the frozen build 6408ab7: 459 tests, 451 pass, 0 fail, 8 skipped (the integration cases, which skip without a database); CI run 39061540226 on PR #136 (45c6b06) green; NV-101 (docs/evidence/M4-build/).</t>
  </si>
  <si>
    <t>Met (frozen build 6408ab7). E2E-3 submits through the form and the stored request matches.</t>
  </si>
  <si>
    <t>AC-FR-2.2a: E2E-3; tests/requestSubmission.test.js; tests/models.test.js. AC-FR-2.2b: E2E-3; tests/requestSubmission.test.js.</t>
  </si>
  <si>
    <t>From AC-FR-2.2a: the system accepts the submission; From AC-FR-2.2b: the system rejects the submission and names the missing field.</t>
  </si>
  <si>
    <t>AC-FR-2.2a: Met (frozen build 6408ab7). E2E-3. AC-FR-2.2b: Met (frozen build 6408ab7). E2E-3 (description missing: 400, nothing stored); HTTP for each of the three fields.</t>
  </si>
  <si>
    <t>E2E-7; tests/requestSubmission.test.js; tests/categoryAdmin.test.js.</t>
  </si>
  <si>
    <t>From AC-FR-2.3: the system rejects the submission and no request is stored.</t>
  </si>
  <si>
    <t>Met (frozen build 6408ab7). Over HTTP with persistence faked; E2E-7 shows a deactivated category no longer offered.</t>
  </si>
  <si>
    <t>E2E-13; tests/requestHistory.test.js.</t>
  </si>
  <si>
    <t>From AC-FR-2.4: the detail is stored against the request together with the date, time and acting user.</t>
  </si>
  <si>
    <t>E2E run 2 at 6408ab7, 56 of 56 in Chromium 156, Chrome 155, Edge 155 and Firefox 157 (Playwright's build), retries 0 (docs/evidence/M4-build/E2E_run_2026-10-17_final_four_browsers_run2.txt); npm test at the frozen build 6408ab7: 459 tests, 451 pass, 0 fail, 8 skipped (the integration cases, which skip without a database); CI run 39061540226 on PR #136 (45c6b06) green; NV-133 (docs/evidence/M4-build/).</t>
  </si>
  <si>
    <t>Met (frozen build 6408ab7). Over HTTP with persistence faked (owner only, NV-133); E2E-13 adds detail through the request page at 360 px.</t>
  </si>
  <si>
    <t>E2E-3; E2E-11; tests/requestSubmission.test.js.</t>
  </si>
  <si>
    <t>From AC-FR-2.5: it carries the submitting user identifier, the submission date and the submission time.</t>
  </si>
  <si>
    <t>Met (frozen build 6408ab7). E2E-3 compares the stored request with the submitting user.</t>
  </si>
  <si>
    <t>E2E-3; tests/referenceSequence.test.js; tests/requestSubmission.test.js.</t>
  </si>
  <si>
    <t>From AC-FR-2.6: it contains a request reference that is unique across all requests and that does not change for the life of the request.</t>
  </si>
  <si>
    <t>E2E run 2 at 6408ab7, 56 of 56 in Chromium 156, Chrome 155, Edge 155 and Firefox 157 (Playwright's build), retries 0 (docs/evidence/M4-build/E2E_run_2026-10-17_final_four_browsers_run2.txt); npm test at the frozen build 6408ab7: 459 tests, 451 pass, 0 fail, 8 skipped (the integration cases, which skip without a database); CI run 39061540226 on PR #136 (45c6b06) green; NV-150 (docs/evidence/M4-build/); unique index provisioned on both clusters (docs/evidence/M3-indexes/).</t>
  </si>
  <si>
    <t>Met (frozen build 6408ab7). DEF-022 (sequence not kept per campus and year) fixed.</t>
  </si>
  <si>
    <t>E2E-3; tests/requestList.test.js.</t>
  </si>
  <si>
    <t>From AC-FR-3.1: all three of their own requests are listed and the other user's request is not.</t>
  </si>
  <si>
    <t>E2E run 2 at 6408ab7, 56 of 56 in Chromium 156, Chrome 155, Edge 155 and Firefox 157 (Playwright's build), retries 0 (docs/evidence/M4-build/E2E_run_2026-10-17_final_four_browsers_run2.txt); npm test at the frozen build 6408ab7: 459 tests, 451 pass, 0 fail, 8 skipped (the integration cases, which skip without a database); CI run 39061540226 on PR #136 (45c6b06) green; NV-109 (docs/evidence/M4-build/).</t>
  </si>
  <si>
    <t>Met (frozen build 6408ab7). HTTP three-own-and-one-other with persistence faked (NV-109); E2E-3 lists the requester's own request.</t>
  </si>
  <si>
    <t>From AC-FR-3.2: the current status of that request is shown against it.</t>
  </si>
  <si>
    <t>Met (frozen build 6408ab7). E2E-3.</t>
  </si>
  <si>
    <t>E2E-4; tests/requestHistory.test.js.</t>
  </si>
  <si>
    <t>From AC-FR-3.3: each status change is listed with its date.</t>
  </si>
  <si>
    <t>E2E run 2 at 6408ab7, 56 of 56 in Chromium 156, Chrome 155, Edge 155 and Firefox 157 (Playwright's build), retries 0 (docs/evidence/M4-build/E2E_run_2026-10-17_final_four_browsers_run2.txt); npm test at the frozen build 6408ab7: 459 tests, 451 pass, 0 fail, 8 skipped (the integration cases, which skip without a database); CI run 39061540226 on PR #136 (45c6b06) green; NV-159 (docs/evidence/M4-build/).</t>
  </si>
  <si>
    <t>Met (frozen build 6408ab7). E2E-4 step 6 (each status change with the stored date).</t>
  </si>
  <si>
    <t>tests/requestHistory.test.js; tests/composition.test.js.</t>
  </si>
  <si>
    <t>From AC-FR-3.4: an in-application notification identifying the request and the change is available to that requester on their next session.</t>
  </si>
  <si>
    <t>npm test at the frozen build 6408ab7: 459 tests, 451 pass, 0 fail, 8 skipped (the integration cases, which skip without a database); CI run 39061540226 on PR #136 (45c6b06) green; NV-131, NV-132 (docs/evidence/M4-build/).</t>
  </si>
  <si>
    <t>Met (frozen build 6408ab7). Over HTTP with persistence faked; "available at the next session" shown as a later request. TD-001 partly repaid (the reportingCounts projection is not registered).</t>
  </si>
  <si>
    <t>E2E-8; tests/requestRead.test.js; tests/requestList.test.js; tests/requestHistory.test.js.</t>
  </si>
  <si>
    <t>From AC-FR-3.5: the displayed status is one of Received, In Progress or Closed, and no other status value appears.</t>
  </si>
  <si>
    <t>E2E run 2 at 6408ab7, 56 of 56 in Chromium 156, Chrome 155, Edge 155 and Firefox 157 (Playwright's build), retries 0 (docs/evidence/M4-build/E2E_run_2026-10-17_final_four_browsers_run2.txt); npm test at the frozen build 6408ab7: 459 tests, 451 pass, 0 fail, 8 skipped (the integration cases, which skip without a database); CI run 39061540226 on PR #136 (45c6b06) green; NV-112, NV-115, NV-131 (docs/evidence/M4-build/).</t>
  </si>
  <si>
    <t>Met (frozen build 6408ab7). E2E-8 shows the mapped status to the requester of a security request.</t>
  </si>
  <si>
    <t>tests/requestRead.test.js; tests/requestList.test.js; tests/requestHistory.test.js.</t>
  </si>
  <si>
    <t>From AC-FR-3.6: the system refuses the request and returns no data from it.</t>
  </si>
  <si>
    <t>npm test at the frozen build 6408ab7: 459 tests, 451 pass, 0 fail, 8 skipped (the integration cases, which skip without a database); CI run 39061540226 on PR #136 (45c6b06) green; NV-149 (docs/evidence/M4-build/).</t>
  </si>
  <si>
    <t>Met (frozen build 6408ab7). Over HTTP.</t>
  </si>
  <si>
    <t>E2E-4; tests/requestList.test.js.</t>
  </si>
  <si>
    <t>From AC-FR-4.1: the list contains every request their authorisation permits and no request outside it.</t>
  </si>
  <si>
    <t>E2E run 2 at 6408ab7, 56 of 56 in Chromium 156, Chrome 155, Edge 155 and Firefox 157 (Playwright's build), retries 0 (docs/evidence/M4-build/E2E_run_2026-10-17_final_four_browsers_run2.txt); npm test at the frozen build 6408ab7: 459 tests, 451 pass, 0 fail, 8 skipped (the integration cases, which skip without a database); CI run 39061540226 on PR #136 (45c6b06) green; NV-108 (docs/evidence/M4-build/).</t>
  </si>
  <si>
    <t>Met (frozen build 6408ab7). HTTP equivalence with mayViewRequest with persistence faked (NV-108); E2E-4 uses the queue.</t>
  </si>
  <si>
    <t>E2E-11; tests/requestRead.test.js; tests/requestHistory.test.js.</t>
  </si>
  <si>
    <t>From AC-FR-4.2: the category, location, description, status, submission details, assignment, comment history and action history are all displayed.</t>
  </si>
  <si>
    <t>E2E run 2 at 6408ab7, 56 of 56 in Chromium 156, Chrome 155, Edge 155 and Firefox 157 (Playwright's build), retries 0 (docs/evidence/M4-build/E2E_run_2026-10-17_final_four_browsers_run2.txt); npm test at the frozen build 6408ab7: 459 tests, 451 pass, 0 fail, 8 skipped (the integration cases, which skip without a database); CI run 39061540226 on PR #136 (45c6b06) green; NV-152 (docs/evidence/M4-build/).</t>
  </si>
  <si>
    <t>Met (frozen build 6408ab7). E2E-11: a fresh Coordinator session sees all eight items. Interpretation: "submission details" are the submitted date and time and the submitter's role in the history; the submitter's name is not shown. DEF-031 (category name missing after an in-place sign-in) fixed.</t>
  </si>
  <si>
    <t>E2E-12; tests/requestList.test.js.</t>
  </si>
  <si>
    <t>From AC-FR-4.3: the request appears in the results.</t>
  </si>
  <si>
    <t>E2E run 2 at 6408ab7, 56 of 56 in Chromium 156, Chrome 155, Edge 155 and Firefox 157 (Playwright's build), retries 0 (docs/evidence/M4-build/E2E_run_2026-10-17_final_four_browsers_run2.txt); npm test at the frozen build 6408ab7: 459 tests, 451 pass, 0 fail, 8 skipped (the integration cases, which skip without a database); CI run 39061540226 on PR #136 (45c6b06) green; NV-113, NV-114 (docs/evidence/M4-build/).</t>
  </si>
  <si>
    <t>Met (frozen build 6408ab7). E2E-12 searches the real $text index on the test cluster. MongoDB matches words, not substrings (not asserted).</t>
  </si>
  <si>
    <t>tests/requestList.test.js.</t>
  </si>
  <si>
    <t>From AC-FR-4.4: only requests in that status are listed.</t>
  </si>
  <si>
    <t>npm test at the frozen build 6408ab7: 459 tests, 451 pass, 0 fail, 8 skipped (the integration cases, which skip without a database); CI run 39061540226 on PR #136 (45c6b06) green.</t>
  </si>
  <si>
    <t>Met (frozen build 6408ab7). Over HTTP with persistence faked.</t>
  </si>
  <si>
    <t>From AC-FR-4.5: the most recently submitted request appears first.</t>
  </si>
  <si>
    <t>E2E-13; tests/requestList.test.js.</t>
  </si>
  <si>
    <t>From AC-FR-4.6: the request appears for the first Technician and does not appear for the second.</t>
  </si>
  <si>
    <t>Met (frozen build 6408ab7). Over HTTP with persistence faked; E2E-13 applies the Unassigned filter.</t>
  </si>
  <si>
    <t>E2E-4; tests/assignmentService.test.js; tests/assignmentSecurityRule.test.js; tests/permittedAssignment.test.js.</t>
  </si>
  <si>
    <t>From AC-FR-5.1: the request records that user as its owner and no longer appears in the unassigned set.</t>
  </si>
  <si>
    <t>E2E run 2 at 6408ab7, 56 of 56 in Chromium 156, Chrome 155, Edge 155 and Firefox 157 (Playwright's build), retries 0 (docs/evidence/M4-build/E2E_run_2026-10-17_final_four_browsers_run2.txt); npm test at the frozen build 6408ab7: 459 tests, 451 pass, 0 fail, 8 skipped (the integration cases, which skip without a database); CI run 39061540226 on PR #136 (45c6b06) green; NV-120, NV-122, NV-163, NV-168 (docs/evidence/M4-build/).</t>
  </si>
  <si>
    <t>Met (frozen build 6408ab7). E2E-4 assigns through the queue. DEF-027 (a Security Officer offered non-security requests) fixed.</t>
  </si>
  <si>
    <t>E2E-13; tests/assignmentService.test.js; tests/assignmentSecurityRule.test.js.</t>
  </si>
  <si>
    <t>From AC-FR-5.2: that Technician is recorded as the owner of the request.</t>
  </si>
  <si>
    <t>E2E run 2 at 6408ab7, 56 of 56 in Chromium 156, Chrome 155, Edge 155 and Firefox 157 (Playwright's build), retries 0 (docs/evidence/M4-build/E2E_run_2026-10-17_final_four_browsers_run2.txt); npm test at the frozen build 6408ab7: 459 tests, 451 pass, 0 fail, 8 skipped (the integration cases, which skip without a database); CI run 39061540226 on PR #136 (45c6b06) green; NV-163 (docs/evidence/M4-build/).</t>
  </si>
  <si>
    <t>Met (frozen build 6408ab7). Over HTTP with persistence faked; E2E-13 accepts from the queue.</t>
  </si>
  <si>
    <t>tests/assignmentService.test.js; tests/refusalRecording.test.js.</t>
  </si>
  <si>
    <t>From AC-FR-5.3: the system refuses, the recorded owner remains Technician 1, and the refused attempt is recorded.</t>
  </si>
  <si>
    <t>npm test at the frozen build 6408ab7: 459 tests, 451 pass, 0 fail, 8 skipped (the integration cases, which skip without a database); CI run 39061540226 on PR #136 (45c6b06) green; NV-116, NV-117, NV-118 (docs/evidence/M4-build/).</t>
  </si>
  <si>
    <t>E2E-4; tests/assignmentService.test.js; tests/requestHistory.test.js.</t>
  </si>
  <si>
    <t>From AC-FR-5.4: the acting user, date and time of both the assignment and the reassignment are present.</t>
  </si>
  <si>
    <t>E2E run 2 at 6408ab7, 56 of 56 in Chromium 156, Chrome 155, Edge 155 and Firefox 157 (Playwright's build), retries 0 (docs/evidence/M4-build/E2E_run_2026-10-17_final_four_browsers_run2.txt); npm test at the frozen build 6408ab7: 459 tests, 451 pass, 0 fail, 8 skipped (the integration cases, which skip without a database); CI run 39061540226 on PR #136 (45c6b06) green; NV-121, NV-124 (docs/evidence/M4-build/).</t>
  </si>
  <si>
    <t>Met (frozen build 6408ab7). E2E-4 checks the stored assignment entry.</t>
  </si>
  <si>
    <t>tests/assignmentService.test.js; tests/assignmentStatusRule.test.js.</t>
  </si>
  <si>
    <t>From AC-FR-5.5: Technician 2 is recorded as the owner and the previous assignment remains visible in the history.</t>
  </si>
  <si>
    <t>npm test at the frozen build 6408ab7: 459 tests, 451 pass, 0 fail, 8 skipped (the integration cases, which skip without a database); CI run 39061540226 on PR #136 (45c6b06) green; NV-124, NV-164, NV-165 (docs/evidence/M4-build/).</t>
  </si>
  <si>
    <t>tests/domainValues.test.js; tests/requestStatus.test.js; tests/clientBoundary.test.js.</t>
  </si>
  <si>
    <t>From AC-FR-6.1: they are exactly Received, Assigned, In Progress, On Hold, Resolved, Closed and Rejected.</t>
  </si>
  <si>
    <t>npm test at the frozen build 6408ab7: 459 tests, 451 pass, 0 fail, 8 skipped (the integration cases, which skip without a database); CI run 39061540226 on PR #136 (45c6b06) green; NV-151 (docs/evidence/M4-build/).</t>
  </si>
  <si>
    <t>Met (frozen build 6408ab7). Unit and HTTP.</t>
  </si>
  <si>
    <t>E2E-4; integration cases (tests/integration/); tests/requestStatus.test.js; tests/statusTransitionService.test.js; tests/dec015Conformance.test.js.</t>
  </si>
  <si>
    <t>From AC-FR-6.2: the system refuses it and the status is unchanged.</t>
  </si>
  <si>
    <t>Met (frozen build 6408ab7). E2E-4 (refusals); the edges and roles are a team proposal (OI-15).</t>
  </si>
  <si>
    <t>E2E-1; E2E-4; integration cases (tests/integration/); tests/statusTransitionService.test.js; tests/models.test.js; tests/integration/transactionBoundary.integration.test.js.</t>
  </si>
  <si>
    <t>From AC-FR-6.3: the entry records the acting user, the previous status, the new status, the date and the time.</t>
  </si>
  <si>
    <t>Met (frozen build 6408ab7). DEF-007 completed by e973a9d (replay body).</t>
  </si>
  <si>
    <t>E2E-2a; E2E-2b; integration cases (tests/integration/); tests/statusTransitionService.test.js; tests/dec015Conformance.test.js; tests/integration/wrongRoleTransition.integration.test.js.</t>
  </si>
  <si>
    <t>From AC-FR-6.4: the system refuses it and the status is unchanged.</t>
  </si>
  <si>
    <t>Met (frozen build 6408ab7). DEF-011 (a wrong role answered 422) fixed.</t>
  </si>
  <si>
    <t>E2E-4; tests/requestStatus.test.js; tests/statusTransitionService.test.js.</t>
  </si>
  <si>
    <t>From AC-FR-6.5: the system refuses and states that resolution information is required.</t>
  </si>
  <si>
    <t>Met (frozen build 6408ab7). E2E-4 (refused without a resolution, accepted with one).</t>
  </si>
  <si>
    <t>E2E-1; E2E-4; E2E-9; tests/statusTransitionService.test.js; tests/requestStatus.test.js.</t>
  </si>
  <si>
    <t>From AC-FR-6.6: the first attempt is refused and the second stores the reason and displays it in the history.</t>
  </si>
  <si>
    <t>E2E run 2 at 6408ab7, 56 of 56 in Chromium 156, Chrome 155, Edge 155 and Firefox 157 (Playwright's build), retries 0 (docs/evidence/M4-build/E2E_run_2026-10-17_final_four_browsers_run2.txt); npm test at the frozen build 6408ab7: 459 tests, 451 pass, 0 fail, 8 skipped (the integration cases, which skip without a database); CI run 39061540226 on PR #136 (45c6b06) green; NV-141 (docs/evidence/M4-build/).</t>
  </si>
  <si>
    <t>Met (frozen build 6408ab7). The reason shown in the history (overclaimed in RTM v0.10, now shown). TD-006 repaid.</t>
  </si>
  <si>
    <t>tests/models.test.js; tests/requestHistory.test.js.</t>
  </si>
  <si>
    <t>From AC-FR-6.7: no such operation is available and the entry is unchanged.</t>
  </si>
  <si>
    <t>npm test at the frozen build 6408ab7: 459 tests, 451 pass, 0 fail, 8 skipped (the integration cases, which skip without a database); CI run 39061540226 on PR #136 (45c6b06) green; NV-128, NV-130 (docs/evidence/M4-build/); docs/evidence/DB-01_layer3_verification.txt.</t>
  </si>
  <si>
    <t>Met (frozen build 6408ab7). CR-003 (approved 17/10/2026) bounds the PROC-001 exception; OI-13 closes on it.</t>
  </si>
  <si>
    <t>E2E-11; E2E-13; tests/requestHistory.test.js.</t>
  </si>
  <si>
    <t>From AC-FR-7.1: the comment is stored against the request and is visible to users authorised to view it.</t>
  </si>
  <si>
    <t>Met (frozen build 6408ab7). Over HTTP with persistence faked; E2E-11 and E2E-13 post comments through the request page.</t>
  </si>
  <si>
    <t>E2E-11; tests/requestHistory.test.js.</t>
  </si>
  <si>
    <t>From AC-FR-7.2: the action is stored against the request.</t>
  </si>
  <si>
    <t>Met (frozen build 6408ab7). Over HTTP with persistence faked; E2E-11 records an action through the request page.</t>
  </si>
  <si>
    <t>tests/requestHistory.test.js.</t>
  </si>
  <si>
    <t>From AC-FR-7.3: it carries the authoring user, the date and the time.</t>
  </si>
  <si>
    <t>From AC-FR-7.4: all five entries are listed in ascending order of the time recorded.</t>
  </si>
  <si>
    <t>npm test at the frozen build 6408ab7: 459 tests, 451 pass, 0 fail, 8 skipped (the integration cases, which skip without a database); CI run 39061540226 on PR #136 (45c6b06) green; NV-127 (docs/evidence/M4-build/).</t>
  </si>
  <si>
    <t>E2E-4; tests/requestRead.test.js; tests/statusTransitionService.test.js.</t>
  </si>
  <si>
    <t>From AC-FR-7.5: it is stored against the request and is visible in the request detail.</t>
  </si>
  <si>
    <t>Met (frozen build 6408ab7). E2E-4 stores it; the UI display is not asserted by E2E.</t>
  </si>
  <si>
    <t>E2E-5; tests/managementView.test.js.</t>
  </si>
  <si>
    <t>From AC-FR-8.1: a count is shown for each status and the counts sum to the total number of requests within the applied filter.</t>
  </si>
  <si>
    <t>E2E run 2 at 6408ab7, 56 of 56 in Chromium 156, Chrome 155, Edge 155 and Firefox 157 (Playwright's build), retries 0 (docs/evidence/M4-build/E2E_run_2026-10-17_final_four_browsers_run2.txt); npm test at the frozen build 6408ab7: 459 tests, 451 pass, 0 fail, 8 skipped (the integration cases, which skip without a database); CI run 39061540226 on PR #136 (45c6b06) green; NV-142 (docs/evidence/M4-build/).</t>
  </si>
  <si>
    <t>Met (frozen build 6408ab7). E2E-5 compares the counts with the stored requests.</t>
  </si>
  <si>
    <t>From AC-FR-8.2: a count is shown for each category.</t>
  </si>
  <si>
    <t>Met (frozen build 6408ab7). E2E-5.</t>
  </si>
  <si>
    <t>tests/managementView.test.js.</t>
  </si>
  <si>
    <t>From AC-FR-8.3: the first request is identified as overdue and the second is not.</t>
  </si>
  <si>
    <t>tests/managementView.test.js; tests/categoryTargetVisibility.test.js.</t>
  </si>
  <si>
    <t>From AC-FR-8.4: the value is stored and is used by the overdue calculation verified in AC-FR-8.3.</t>
  </si>
  <si>
    <t>npm test at the frozen build 6408ab7: 459 tests, 451 pass, 0 fail, 8 skipped (the integration cases, which skip without a database); CI run 39061540226 on PR #136 (45c6b06) green; NV-166 (docs/evidence/M4-build/).</t>
  </si>
  <si>
    <t>Met (frozen build 6408ab7). Over HTTP with persistence faked; FR-8.4 is Proposed (OI-02). DEF-028 (target not shown) fixed.</t>
  </si>
  <si>
    <t>From AC-FR-8.5: the displayed counts include only requests matching both conditions.</t>
  </si>
  <si>
    <t>Met (frozen build 6408ab7). E2E-5 (category filter); the date range over HTTP with persistence faked.</t>
  </si>
  <si>
    <t>From AC-FR-8.6: those requests are included in the status and category counts, and their description, comments and actions are not reachable from that view.</t>
  </si>
  <si>
    <t>npm test at the frozen build 6408ab7: 459 tests, 451 pass, 0 fail, 8 skipped (the integration cases, which skip without a database); CI run 39061540226 on PR #136 (45c6b06) green; NV-144 (docs/evidence/M4-build/).</t>
  </si>
  <si>
    <t>E2E-7; tests/categoryAdmin.test.js; tests/polishAssigneeAndCategories.test.js.</t>
  </si>
  <si>
    <t>From AC-FR-9.1: the category is no longer selectable on the submission form.</t>
  </si>
  <si>
    <t>E2E run 2 at 6408ab7, 56 of 56 in Chromium 156, Chrome 155, Edge 155 and Firefox 157 (Playwright's build), retries 0 (docs/evidence/M4-build/E2E_run_2026-10-17_final_four_browsers_run2.txt); npm test at the frozen build 6408ab7: 459 tests, 451 pass, 0 fail, 8 skipped (the integration cases, which skip without a database); CI run 39061540226 on PR #136 (45c6b06) green; NV-172 (docs/evidence/M4-build/).</t>
  </si>
  <si>
    <t>Met (frozen build 6408ab7). E2E-7. Reactivation is not built (future work; FR-9.1 requires deactivation only).</t>
  </si>
  <si>
    <t>None.</t>
  </si>
  <si>
    <t>From AC-FR-1.6: the user's effective permissions include the group's authorisation, and removing the user from the group withdraws it.</t>
  </si>
  <si>
    <t>Not Met (frozen build 6408ab7). Groups are modelled but never evaluated (TD-002); kept out of M4 by decision.</t>
  </si>
  <si>
    <t>tests/categoryAdmin.test.js; tests/managementView.test.js.</t>
  </si>
  <si>
    <t>From AC-FR-9.2: those requests retain the category and continue to appear in the category counts verified in AC-FR-8.2.</t>
  </si>
  <si>
    <t>E2E-1; E2E-3; E2E-4; E2E-5.</t>
  </si>
  <si>
    <t>From AC-NFR-1.1: each journey completes with no functional failure and without any client-side installation.</t>
  </si>
  <si>
    <t>E2E run 2 at 6408ab7, 56 of 56 in Chromium 156, Chrome 155, Edge 155 and Firefox 157 (Playwright's build), retries 0 (docs/evidence/M4-build/E2E_run_2026-10-17_final_four_browsers_run2.txt).</t>
  </si>
  <si>
    <t>Partially Met (frozen build 6408ab7): the current Chrome and Edge releases and Playwright's Firefox pass; the prior releases are not shown, and Firefox is not Mozilla's release binary.</t>
  </si>
  <si>
    <t>E2E-6; E2E-13.</t>
  </si>
  <si>
    <t>From AC-NFR-1.2: no horizontal scrolling is required and every interactive control measures at least 44 x 44 CSS pixels.</t>
  </si>
  <si>
    <t>E2E run 2 at 6408ab7, 56 of 56 in Chromium 156, Chrome 155, Edge 155 and Firefox 157 (Playwright's build), retries 0 (docs/evidence/M4-build/E2E_run_2026-10-17_final_four_browsers_run2.txt); the strict check failed before the phone layout (docs/evidence/M4-build/E2E_dev_2026-10-17_E2E-13_before_phone_layout_chromium.txt).</t>
  </si>
  <si>
    <t>Met (frozen build 6408ab7). E2E-6 on arrival and E2E-13 after each of ten Requester and Technician interactions, in four browsers. Only 360 px is measured.</t>
  </si>
  <si>
    <t>From AC-NFR-1.3: all four journeys complete successfully.</t>
  </si>
  <si>
    <t>tests/authService.test.js; tests/refusalRecording.test.js.</t>
  </si>
  <si>
    <t>From AC-NFR-1.4: all three entries are present and unaltered.</t>
  </si>
  <si>
    <t>Partially Met (frozen build 6408ab7): authentication entries shown; the transition and assignment entries depend on the trigger, which is not deployed; 90 days cannot elapse in M4.</t>
  </si>
  <si>
    <t>From AC-NFR-1.5: the system returns to service with all data recorded up to T.</t>
  </si>
  <si>
    <t>Not Met (frozen build 6408ab7). No backup or restore has run (DEC-010).</t>
  </si>
  <si>
    <t>tests/app.test.js; tests/release.test.js.</t>
  </si>
  <si>
    <t>From AC-NFR-1.6: it returns the application status and the data store status.</t>
  </si>
  <si>
    <t>npm test at the frozen build 6408ab7: 459 tests, 451 pass, 0 fail, 8 skipped (the integration cases, which skip without a database); CI run 39061540226 on PR #136 (45c6b06) green; staging /health at M3 (docs/evidence/M3_Staging_Deploy_v3.0-M3-rc.md).</t>
  </si>
  <si>
    <t>Met (frozen build 6408ab7). DEF-020 fixed at M3.</t>
  </si>
  <si>
    <t>From AC-NFR-2.1: at least 95 confirmations are returned within 3 seconds, measured server-side.</t>
  </si>
  <si>
    <t>From AC-NFR-2.2: at least 95 return within 2 seconds.</t>
  </si>
  <si>
    <t>Not Met (frozen build 6408ab7). The 10 000-request dataset was not run.</t>
  </si>
  <si>
    <t>From AC-NFR-2.3: at least 95 render within 5 seconds.</t>
  </si>
  <si>
    <t>Not Met (frozen build 6408ab7). 12 months of data were not run.</t>
  </si>
  <si>
    <t>From AC-NFR-2.4: no request failed and no unhandled server error was recorded.</t>
  </si>
  <si>
    <t>From AC-NFR-2.5: the result is at least 99%.</t>
  </si>
  <si>
    <t>Not Met (frozen build 6408ab7). A calendar month of monitoring is not possible in M4.</t>
  </si>
  <si>
    <t>tests/passwordHasher.test.js; tests/userInitialPassword.test.js.</t>
  </si>
  <si>
    <t>From AC-NFR-3.1: the password appears only as a salted hash from a recognised slow hashing function and the plaintext appears nowhere.</t>
  </si>
  <si>
    <t>From AC-NFR-3.2: the connection is refused or redirected to TLS 1.2 or higher.</t>
  </si>
  <si>
    <t>E2E-2a; E2E-2b; integration cases (tests/integration/); tests/authorisationGuard.test.js; tests/openapiRoutes.test.js.</t>
  </si>
  <si>
    <t>From AC-NFR-3.3: the server refuses the operation.</t>
  </si>
  <si>
    <t>E2E run 2 at 6408ab7, 56 of 56 in Chromium 156, Chrome 155, Edge 155 and Firefox 157 (Playwright's build), retries 0 (docs/evidence/M4-build/E2E_run_2026-10-17_final_four_browsers_run2.txt); API integration run 3 at 6408ab7, 40 of 40 on the test cluster (docs/evidence/M4-build/API_integration_run_2026-10-17_run3_frozen_build.txt); npm test at the frozen build 6408ab7: 459 tests, 451 pass, 0 fail, 8 skipped (the integration cases, which skip without a database); CI run 39061540226 on PR #136 (45c6b06) green; NV-101, NV-142, NV-143 (docs/evidence/M4-build/).</t>
  </si>
  <si>
    <t>Met (frozen build 6408ab7). E2E-2 calls the API directly with a wrong role; integration 403.</t>
  </si>
  <si>
    <t>tests/authService.test.js.</t>
  </si>
  <si>
    <t>From AC-NFR-3.4: the system requires re-authentication before proceeding.</t>
  </si>
  <si>
    <t>secret scan green on PR #136 (CI run 39061540226).</t>
  </si>
  <si>
    <t>From AC-NFR-3.5: no password, API key, token or connection secret is reported.</t>
  </si>
  <si>
    <t>Met (frozen build 6408ab7). Synthetic test password assembled at run time and its line ignored by fingerprint (ddd36af).</t>
  </si>
  <si>
    <t>From AC-NFR-3.6: the acting user, action and timestamp of each are returned.</t>
  </si>
  <si>
    <t>CI run 39061540226 (Build and test job, layer check step).</t>
  </si>
  <si>
    <t>From AC-NFR-1.7: no presentation component references a data-access component, and every inter-layer dependency crosses exactly one boundary in one direction.</t>
  </si>
  <si>
    <t>Partially Met (frozen build 6408ab7): the check covers src/routes and src/middleware only, not every layer of src.</t>
  </si>
  <si>
    <t>From AC-NFR-1.8: each holds a separate schema, no environment reads another's data, and every schema change is traceable to a migration script rather than a manual alteration.</t>
  </si>
  <si>
    <t>From AC-NFR-1.9: a trigger-written audit row exists for that modification, and the migration script that created the trigger is present and ordered in the repository.</t>
  </si>
  <si>
    <t>Not Met (frozen build 6408ab7). The trigger-written audit row is not shown (RSK-018).</t>
  </si>
  <si>
    <t>integration cases (tests/integration/); tests/statusTransitionService.test.js; tests/integration/transactionBoundary.integration.test.js.</t>
  </si>
  <si>
    <t>From AC-NFR-1.10 v0.3 (CR-001, approved 17/10/2026): a failure injected after the first write and before commit changes neither document and publishes no event. The two auditLog clauses are not tested: the Atlas trigger is not deployed</t>
  </si>
  <si>
    <t>Partially Met (frozen build 6408ab7) against AC-NFR-1.10 v0.3 (CR-001, approved 17/10/2026): neither document changes and no event is published; the two auditLog clauses are not shown (trigger not deployed).</t>
  </si>
  <si>
    <t>tests/performanceLogRoute.test.js; tests/dec015Conformance.test.js.</t>
  </si>
  <si>
    <t>From AC-NFR-1.11: each operation has one structured entry recording operation, duration in milliseconds and outcome, and no entry contains a name, e-mail address, student number or free-text description.</t>
  </si>
  <si>
    <t>document check 17/10/2026: 21 declared indexes against DB-01 v0.3.</t>
  </si>
  <si>
    <t>From AC-NFR-2.6: each index is justified against a named query arising from a functional requirement, or against an integrity invariant recorded in the data baseline, and no unjustified index is present.</t>
  </si>
  <si>
    <t>Not Met (frozen build 6408ab7). With CR-004 (approved 17/10/2026): the unique indexes on roles, groups and categories have no stated justification, and the TTL indexes on sessions, notifications and auditLog are justified by clean-up or retention, which the amended text does not name.</t>
  </si>
  <si>
    <t>From AC-NFR-2.7: no user session state is held in process memory and no query plan contains a full-table scan on the request or audit tables.</t>
  </si>
  <si>
    <t>From AC-NFR-3.7: the personal information is not readable as plaintext.</t>
  </si>
  <si>
    <t>Not Met (frozen build 6408ab7). Storage cannot be read directly on the M0 tier.</t>
  </si>
  <si>
    <t>From AC-NFR-4.1: every field maps to at least one of those purposes and no field maps to none.</t>
  </si>
  <si>
    <t>From AC-NFR-4.2: every field listed in REQUEST_PERSONAL_FIELDS and HISTORY_PERSONAL_FIELDS is null, anonymisedAt is set, no notification for it remains, and the FR-8.1 and FR-8.2 counts are identical to those recorded before anonymisation.</t>
  </si>
  <si>
    <t>Not Met (frozen build 6408ab7). PROC-001 has not been run on the M4 build.</t>
  </si>
  <si>
    <t>E2E-3.</t>
  </si>
  <si>
    <t>From AC-NFR-4.3: a notice stating what personal information is collected, why, and who may access it is displayed before the requester can submit.</t>
  </si>
  <si>
    <t>Met (frozen build 6408ab7). E2E-3 (notice before submit).</t>
  </si>
  <si>
    <t>From AC-NFR-4.4: no description, comment or action content is returned.</t>
  </si>
  <si>
    <t>E2E run 2 at 6408ab7, 56 of 56 in Chromium 156, Chrome 155, Edge 155 and Firefox 157 (Playwright's build), retries 0 (docs/evidence/M4-build/E2E_run_2026-10-17_final_four_browsers_run2.txt); npm test at the frozen build 6408ab7: 459 tests, 451 pass, 0 fail, 8 skipped (the integration cases, which skip without a database); CI run 39061540226 on PR #136 (45c6b06) green; NV-152, NV-110, NV-111, NV-125, NV-144 (docs/evidence/M4-build/).</t>
  </si>
  <si>
    <t>Met (frozen build 6408ab7). Over HTTP; E2E-8 across roles.</t>
  </si>
  <si>
    <t>From AC-NFR-4.5: both accesses are listed with the user, date and time.</t>
  </si>
  <si>
    <t>Not Met (frozen build 6408ab7). "the Information Officer" is not an FR-1.2 role (proposed open item).</t>
  </si>
  <si>
    <t>Test case(s) (M4)</t>
  </si>
  <si>
    <t>Execution evidence (M4)</t>
  </si>
  <si>
    <t>Defect / M4 status</t>
  </si>
  <si>
    <t>The system will maintain a documented indexing strategy in which every index is justified against a named query arising from a functional requirement, or against an integrity invariant recorded in the data baseline, and no index exists without such a justification.</t>
  </si>
  <si>
    <t>AC-NFR-1.10 — Then neither document is changed, no auditLog entry for the aborted transition ever appears, and no event is published; and given the same transition committed, then exactly one auditLog entry per written document appears within 60 seconds.</t>
  </si>
  <si>
    <t>AC-NFR-2.6 — Then each index is justified against a named query arising from a functional requirement, or against an integrity invariant recorded in the data baseline, and no unjustified index is present.</t>
  </si>
  <si>
    <t>AC-NFR-4.2 - Then every field listed in REQUEST_PERSONAL_FIELDS and HISTORY_PERSONAL_FIELDS is null, anonymisedAt is set, no notification for it remains, and the FR-8.1 and FR-8.2 counts are identical to those recorded before anonymisation.</t>
  </si>
  <si>
    <t>Indexing strategy; every index justified against a named query from a functional requirement or an integrity invariant (NFR-2.6, CR-004 approved 17/10/2026). Outside the amended text in DB-01: the unique indexes on roles, groups and categories (no justification stated) and the TTL indexes on sessions, notifications and auditLog (justified by clean-up or retention)</t>
  </si>
  <si>
    <t>DEC-015, DEC-016, CR-001 (approved 17/10/2026)</t>
  </si>
  <si>
    <t>CON-015; DEC-002; RSK-012; DB-01; CR-003 (approved 17/10/2026); OI-13 (closed on CR-003); review comment R-11</t>
  </si>
  <si>
    <t>OI-06; escalated at v0.3 - 90-day retention against the one-month rule; DEC-017; CR-002 (approved 17/10/2026); DEC-018</t>
  </si>
  <si>
    <t>CON-015; DEC-002; DEC-016; DEC-017; RSK-018; CR-002 (approved 17/10/2026)</t>
  </si>
  <si>
    <t>DEC-016; CR-001 (approved 17/10/2026); RSK-018</t>
  </si>
  <si>
    <t>CR-004 (approved 17/10/2026)</t>
  </si>
  <si>
    <t>DEC-005; CFL-004; RSK-002; OI-12; DEC-017; PROC-001; CR-002 (approved 17/10/2026)</t>
  </si>
  <si>
    <t>Column completeness at v0.11</t>
  </si>
  <si>
    <t>Built: the four role journeys (E2E-1 to E2E-13 on the test cluster), verified on staging at the RC.</t>
  </si>
  <si>
    <t>Verified on staging at v4.0-M4-rc: the four role journeys walked through in a browser (E. Lindsay, 18/10/2026 01:53 to 02:05 UTC).</t>
  </si>
  <si>
    <t>Measured on staging at the RC: submission run and server-side timing from the performance log (perf/submit-run.js, perf/server-timings.js; c858788).</t>
  </si>
  <si>
    <t>Run on staging at v4.0-M4-rc (18/10/2026 01:28 UTC): not met.</t>
  </si>
  <si>
    <t>Implemented: standard-journey load script (perf/load-run.js, c858788), run on staging at the RC.</t>
  </si>
  <si>
    <t>Run on staging at v4.0-M4-rc (18/10/2026 00:59 to 01:11 UTC): failed.</t>
  </si>
  <si>
    <t>Built: passwords are stored as scrypt hashes (DEC-018 §2); inspected on staging at the RC.</t>
  </si>
  <si>
    <t>Implemented: HTTPS on staging with plain HTTP redirected and TLS below 1.2 refused (Nginx, ssl_protocols TLSv1.2 TLSv1.3).</t>
  </si>
  <si>
    <t>Verified on staging at v4.0-M4-rc (T9a, 18/10/2026 02:10 UTC).</t>
  </si>
  <si>
    <t>Built: sessions are stored in MongoDB, not in process memory (DEC-018); verified on staging at the RC.</t>
  </si>
  <si>
    <t>Not verified: the field-to-purpose review was not performed at M4.</t>
  </si>
  <si>
    <t>Staging walkthrough at v4.0-M4-rc: the Requester, Coordinator, Technician and Manager journeys (seed run 8ecb330b).</t>
  </si>
  <si>
    <t>docs/evidence/M4_Staging_Deploy_v4.0-M4-rc.md, section 10 (18/10/2026 01:53 to 02:05 UTC): every step as expected; request CC-2026-000521 submitted, assigned, resolved and reported.</t>
  </si>
  <si>
    <t>Met (v4.0-M4-rc on staging): all four journeys completed. The server makes no outbound call, so no campus system endpoint is needed.</t>
  </si>
  <si>
    <t>NFR-2.1 submission run (perf/submit-run.js): 100 Requesters submit at the same moment; server-side timings from the performance log.</t>
  </si>
  <si>
    <t>docs/evidence/M4-perf/NFR-2.1_submit_run_2026-10-18.txt; docs/evidence/M4_Staging_Deploy_v4.0-M4-rc.md, section 8: 27 of 100 confirmed within 60 s, 2 within 3 s server-side; 70 saved, 30 lost.</t>
  </si>
  <si>
    <t>Not Met (v4.0-M4-rc on staging): 2 of 100 confirmations within 3 s server-side (95 required); 30 submissions lost after the transaction retries ran out. DEF-032: counter contention.</t>
  </si>
  <si>
    <t>NFR-2.4 load run (perf/load-run.js): 100 users (50 Coordinators: list, read, reject; 50 Requesters: list, read, submit) for 600 s after a 60 s ramp.</t>
  </si>
  <si>
    <t>docs/evidence/M4-perf/NFR-2.4_load_run_2026-10-18.txt; docs/evidence/M4_Staging_Deploy_v4.0-M4-rc.md, section 7: 12,130 requests, 17 failed (submissions over the client's 30 s limit, all saved), 0 server errors. M3 run (passed without submission or lists): docs/evidence/M3-perf/NFR-2.4_load_run_2026-10-15.txt.</t>
  </si>
  <si>
    <t>Not Met (v4.0-M4-rc on staging): RESULT FAIL, 17 failed requests (submission timeouts), 0 unhandled server errors. DEF-032: counter contention; RSK-019 indicator reached (about 74 ops/s).</t>
  </si>
  <si>
    <t>npm test at the frozen build 6408ab7: 459 tests, 451 pass, 0 fail, 8 skipped (the integration cases, which skip without a database); CI run 39061540226 on PR #136 (45c6b06) green; NV-147 (docs/evidence/M4-build/); docs/evidence/M4_Staging_Deploy_v4.0-M4-rc.md, section 11 (T9c, 18/10/2026 02:16 UTC): 243 of 243 stored passwords scrypt, 6 of 6 seed passwords verify, 0 plaintext in the database, the service journal and the Nginx logs.</t>
  </si>
  <si>
    <t>Partially Met (v4.0-M4-rc on staging): the credential store and every log hold only scrypt hashes and no plaintext; the backups clause cannot be shown, because no backups exist (AC-NFR-1.5 Not Met).</t>
  </si>
  <si>
    <t>T9a: a plain HTTP request; OpenSSL s_client at TLS 1.0, 1.1, 1.2 and 1.3 against the staging address.</t>
  </si>
  <si>
    <t>docs/evidence/M4_Staging_Deploy_v4.0-M4-rc.md, section 11 (T9a): HTTP 301 to HTTPS; TLS 1.0 and 1.1 refused by the server (alert 70); TLS 1.2 and 1.3 with the certificate verified. Re-checked against https://civicconnect.co.za with a Let's Encrypt certificate (18/10/2026 12:30 UTC, section 14): TLS 1.0 and 1.1 refused, TLS 1.2 and 1.3 verified with the name checked.</t>
  </si>
  <si>
    <t>Met (v4.0-M4-rc on staging).</t>
  </si>
  <si>
    <t>npm test at the frozen build 6408ab7: 459 tests, 451 pass, 0 fail, 8 skipped (the integration cases, which skip without a database); CI run 39061540226 on PR #136 (45c6b06) green; NV-140, NV-167 (docs/evidence/M4-build/); docs/evidence/M4_Staging_Deploy_v4.0-M4-rc.md, section 11 (T9b): 12,114 entries under the NFR-2.4 load, each with exactly operation, durationMs and outcome; 0 personal information; 12,130 operations = 12,114 entries + 16 abandoned.</t>
  </si>
  <si>
    <t>Partially Met (v4.0-M4-rc on staging): format and privacy met under load; the 16 requests abandoned before their response finished have no entry (logged on finish only). DEF-029 (errors logged as "POST /") fixed.</t>
  </si>
  <si>
    <t>npm test at the frozen build 6408ab7: 459 tests, 451 pass, 0 fail, 8 skipped (the integration cases, which skip without a database); CI run 39061540226 on PR #136 (45c6b06) green; docs/evidence/M4_Staging_Deploy_v4.0-M4-rc.md, section 11 (T9d): the same session accepted by a new process after a service restart (control 401); 8 query plans of the list, search and management views all IXSCAN, 0 COLLSCAN; auditLog never read.</t>
  </si>
  <si>
    <t>Field-to-purpose review against DEC-017 and DB-01 (a document review, not a staging check).</t>
  </si>
  <si>
    <t>None: not performed at M4.</t>
  </si>
  <si>
    <t>Not Met: the field-to-purpose review against DEC-017 was not performed at M4.</t>
  </si>
  <si>
    <t>v0.7 (Robert): 11 rows populated from the application slice after PR #63. v0.8 (Ethan): NFR-3.3 added; FR-1.3 and FR-6.7 corrected to partial. v0.9 (Ethan): FR-1.1, FR-1.4, NFR-1.4, NFR-1.6 and NFR-3.4 added after PR #83. 17 rows populated (8 implemented, 9 partial). Remaining 62: all three members, criterion F, as code is written v0.11 (Ethan): rewritten for all 79 rows from the M4 build at the frozen build 6408ab7 (PR #136); every row has an entry, including the rows not implemented, so 79 populated and 0 outstanding. The rows evidenced on staging were filled from the RC staging record (docs/evidence/M4_Staging_Deploy_v4.0-M4-rc.md, 18/10/2026).</t>
  </si>
  <si>
    <t>v0.7 (Robert): 11 rows with automated test evidence (npm test 80/80). v0.8 (Ethan): NFR-3.3 added; 12 rows. v0.9 (Ethan): FR-1.1, FR-1.4, NFR-1.4, NFR-1.6 and NFR-3.4 added (npm test 132/132; SMOKE-01 against the Atlas test cluster for reachability); 17 rows. Remaining 62 and live-cluster verification beyond reachability: M3 v0.11 (Ethan): rewritten for all 79 rows with the M4 evidence at 6408ab7: npm test 459 tests (451 pass, 0 fail, 8 skipped), integration 40 of 40 on the test cluster, E2E 56 of 56 in four browsers; 79 populated, 0 outstanding. The rows evidenced on staging were filled from the RC staging record (docs/evidence/M4_Staging_Deploy_v4.0-M4-rc.md, 18/10/2026).</t>
  </si>
  <si>
    <t>Live artefact, version 0.9 at Milestone 3. Source, requirement and acceptance criteria were populated at M1. The ASR, architecture, data, design, technology, implementation and verification columns were introduced at M2: populated where M2 evidence exists, and carried at a controlled status where it legitimately does not. v0.5 (29/09/2026, R. van der Merwe): data/persistence column completed for all 79 rows; DEC-015 to DEC-017 and CR-001 to CR-004 referenced. Change notes: RTM_v0.5_Change_Notes.md. v0.6 (30/09/2026, C. Burger): ASR / quality-driver link and Architecture / module / component columns completed for all 79 rows from PED §6A (ASR-01 to ASR-06, DEC-014); requirements with no driver are marked explicitly. v0.7 (30/09/2026, R. van der Merwe): Implementation and Verification evidence populated for the 11 requirements the application slice now implements (FR-1.3, FR-1.5, FR-2.2, FR-3.5, FR-6.1 to FR-6.7), after PR #63; FR-1.5, FR-2.2 and FR-3.5 are recorded as partial. Status column unchanged. v0.8 (30/09/2026, E. Lindsay): NFR-3.3 Implementation and Verification evidence added; FR-1.3 and FR-6.7 corrected from Implemented to Partially implemented (AC-FR-1.3 rejected-attempt recording not built; DB-01 layer 3 is M3). Status column unchanged. v0.9 (11/10/2026, E. Lindsay): Implementation and Verification evidence added for FR-1.1, FR-1.4, NFR-1.4, NFR-1.6 and NFR-3.4 after the M3 Phase 0 composition root (PR #83, DEC-018); FR-1.1, FR-1.4 and NFR-1.4 recorded as partial. Design / interface entries for DEC-018 added on the same five rows. The application is reachable over HTTP against the Atlas test cluster (SMOKE-01); no index is evidenced on the cluster. Status column unchanged. Also corrected in v0.9: the NFR-3.4 Data/persistence cell, which said the TTL index enforces idle expiry — DB-01 v0.3 §3.9 states that reading is wrong, and the enforcement is in the application against lastSeenAt (R. van der Merwe's column, corrected by E. Lindsay and notified). The Architecture column on FR-1.4, NFR-1.6 and NFR-3.4 changed from "(planned)" to reflect the composed application (C. Burger's column, corrected by E. Lindsay and notified). NOTE ON EVIDENCE: Implementation and verification evidence is recorded at component level. Each component named is implemented and verified by npm test, with its collaborators substituted (no database, no HTTP). Since v0.9 the composition root (src/composition.js, src/server.js) composes the routes, services, repositories and unit of work, and the session middleware sets req.actor; the application is reachable over HTTP against the Atlas test cluster, recorded in docs/evidence/M3-P0/SMOKE-01_phase0_reachability.txt. SMOKE-01 is reachability evidence only: it does not show that any index exists on the cluster. Where a row cites SMOKE-01, that check ran against the cluster; every other cited test ran without a database. Verification that needs a live database (transaction atomicity and rollback, DB-01 layer 3, audit-trigger lag) is M3. v0.10 (15/10/2026, E. Lindsay): the M3 chain added as four columns (O test cases, P expected result, Q execution evidence, R defect / M3 status), populated for the 27 requirements the M3 release candidate (v3.0-M3-rc) implements or verifies; the other 52 rows are marked "Not in M3 scope" with the reason. Unit evidence is the CI run at the release candidate (Node 22); test evidence records UT-1 to UT-5 and BB-1 to BB-5 (M3_Test_Evidence_Records_v0.1.md); API cases on the test cluster; E2E at v3.0-M3-rc; staging, NFR-2.4 and smoke from the staging deploy record. Defects and debt cited: DEF-011, DEF-019, DEF-020, TD-005, TD-006, TD-008; open items OI-01, OI-15, OI-16, OI-17, OI-18. Columns A to N and the Status summary sheet unchanged. v0.11 (17/10/2026, E. Lindsay): final M4 status for all 79 requirement rows (80 acceptance criteria; FR-2.2 holds AC-FR-2.2a and AC-FR-2.2b in one row, each given its own status) at the frozen build 6408ab7 (PR #136), counted under the strict rule (Met only where the Then clause is shown through the system's own interface): 59 Met, 8 Partially Met, 13 Not Met, 63 of 80 after the RC staging session of 18/10/2026 (at the frozen build before it: 56, 9 and 15, 60.5 of 80). Columns K, L, O, P, Q and R rewritten for every row from the M4 build and its evidence (unit tests, API integration run 3, E2E run 2 in four browsers, NV-101 to NV-173); the cells that depend on the RC on staging were filled from docs/evidence/M4_Staging_Deploy_v4.0-M4-rc.md (18/10/2026): NFR-1.3, NFR-2.7 and NFR-3.2 Met; NFR-1.11 and NFR-3.1 Partially Met; NFR-2.1 and NFR-2.4 Not Met (DEF-032, counter contention); NFR-4.1 Not Met (review not performed). CR-001 to CR-004 approved 17/10/2026 by the team, not validated with a client stakeholder: C77, E75, E77, E81, H77, M58, N35, N40, N58, N74, N75, N77, N81 and P75 updated. Defects fixed in the M4 build and cited: DEF-007 to DEF-012 and DEF-022 to DEF-031 (DEF-031: the category name shown as "Request" after a sign-in on the request page). Columns A to J other than C77, E75, E77, E81 and H77 unchanged. The sheet is renamed "RTM v0.11"; the headers of O, Q and R read (M4); the Status summary is updated (A1, B9 to C10, D9, D10). Third pass (18/10/2026, from C. Burger's review): L70 and L72 (NFR-3.5, NFR-1.7) cite the CI gate demonstrations GATE-01 and GATE-02 in place of "Not verified", and Q70 and Q72 add them; Q35 to Q37 and Q75 (FR-6.2 to FR-6.4, NFR-1.10) add the integration cases in CI (run 39079571516); L73, O73, Q73 and R73 (NFR-1.8, still Partially Met) cite the index provisioning runs on the test and staging clusters and NV-87, and record that the staging counters collection was created by hand.</t>
  </si>
  <si>
    <t>Verified in CI: the full-history secret scan (Gitleaks on HEAD --full-history, and on the text of Office documents) is a required check on every PR to dev and main. Seen to fail: GATE-01 (CI run 38357191208) reported six generic-api-key findings and blocked the merge (file hashes, not credentials); GATE-02 (CI run 38437891644) showed the Office-document extraction fails closed.</t>
  </si>
  <si>
    <t>Verified in CI: the layer check is a step of the required Build and test job on every PR to dev and main. GATE-01 (C. Burger, 13/10/2026, PR #90, CI run 38357191208): a route file re-exporting a model failed the layer check and the merge was blocked. GATE-02 (CI run 38437891644): the check fails closed when src/routes or src/middleware is missing. It covers src/routes and src/middleware only (R).</t>
  </si>
  <si>
    <t>Verified for the test and staging environments only: each cluster was inspected separately and brought to its declared indexes by the provisioning script. Development and production were not inspected (no production host).</t>
  </si>
  <si>
    <t>Index provisioning (scripts/atlas) run against the test cluster and the staging cluster, each listing the schema it found; the host guard that refuses a URI for the wrong cluster (NV-87).</t>
  </si>
  <si>
    <t>E2E run 2 at 6408ab7, 56 of 56 in Chromium 156, Chrome 155, Edge 155 and Firefox 157 (Playwright's build), retries 0 (docs/evidence/M4-build/E2E_run_2026-10-17_final_four_browsers_run2.txt); API integration run 3 at 6408ab7, 40 of 40 on the test cluster (docs/evidence/M4-build/API_integration_run_2026-10-17_run3_frozen_build.txt); npm test at the frozen build 6408ab7: 459 tests, 451 pass, 0 fail, 8 skipped (the integration cases, which skip without a database); CI run 39061540226 on PR #136 (45c6b06) green; NV-153 (docs/evidence/M4-build/). The integration cases run in CI on every PR to dev and main (a required check since 18/10/2026; TD-008), against a MongoDB 8.0 single-node replica set: 40 of 40, 0 skipped, on the dev push run 39079571516 (cb8bca3, 17/10/2026 23:35 UTC).</t>
  </si>
  <si>
    <t>E2E run 2 at 6408ab7, 56 of 56 in Chromium 156, Chrome 155, Edge 155 and Firefox 157 (Playwright's build), retries 0 (docs/evidence/M4-build/E2E_run_2026-10-17_final_four_browsers_run2.txt); API integration run 3 at 6408ab7, 40 of 40 on the test cluster (docs/evidence/M4-build/API_integration_run_2026-10-17_run3_frozen_build.txt); npm test at the frozen build 6408ab7: 459 tests, 451 pass, 0 fail, 8 skipped (the integration cases, which skip without a database); CI run 39061540226 on PR #136 (45c6b06) green; NV-102, NV-158 (docs/evidence/M4-build/). The integration cases run in CI on every PR to dev and main (a required check since 18/10/2026; TD-008), against a MongoDB 8.0 single-node replica set: 40 of 40, 0 skipped, on the dev push run 39079571516 (cb8bca3, 17/10/2026 23:35 UTC).</t>
  </si>
  <si>
    <t>E2E run 2 at 6408ab7, 56 of 56 in Chromium 156, Chrome 155, Edge 155 and Firefox 157 (Playwright's build), retries 0 (docs/evidence/M4-build/E2E_run_2026-10-17_final_four_browsers_run2.txt); API integration run 3 at 6408ab7, 40 of 40 on the test cluster (docs/evidence/M4-build/API_integration_run_2026-10-17_run3_frozen_build.txt); npm test at the frozen build 6408ab7: 459 tests, 451 pass, 0 fail, 8 skipped (the integration cases, which skip without a database); CI run 39061540226 on PR #136 (45c6b06) green; NV-134 (docs/evidence/M4-build/). The integration cases run in CI on every PR to dev and main (a required check since 18/10/2026; TD-008), against a MongoDB 8.0 single-node replica set: 40 of 40, 0 skipped, on the dev push run 39079571516 (cb8bca3, 17/10/2026 23:35 UTC).</t>
  </si>
  <si>
    <t>secret scan green on PR #136 (CI run 39061540226); seen to fail: docs/evidence/M3-CI/GATE-01_layer_boundary_demonstration.txt and GATE-01_4_secret_scan_log.png (CI run 38357191208), docs/evidence/M3-CI/GATE-02_fail_closed_demonstration.txt (CI run 38437891644).</t>
  </si>
  <si>
    <t>CI run 39061540226 (Build and test job, layer check step); seen to fail: docs/evidence/M3-CI/GATE-01_layer_boundary_demonstration.txt and GATE-01_3_layer_check_log.png (CI run 38357191208), docs/evidence/M3-CI/GATE-02_fail_closed_demonstration.txt (CI run 38437891644).</t>
  </si>
  <si>
    <t>docs/evidence/M3-indexes/index_provisioning_test_run2.txt (test, 14/10/2026) and docs/evidence/M3-indexes/index_provisioning_staging_run2.txt (staging, 15/10/2026): RESULT PASS, 21 of 21 declared indexes over 10 collections on each; docs/evidence/M3-indexes/NV-87_host_guard_on_whole_URI.txt (seen to fail). docs/evidence/M4_Staging_Deploy_v4.0-M4-rc.md, section 3: the staging counters collection was created by hand on 17/10/2026.</t>
  </si>
  <si>
    <t>API integration run 3 at 6408ab7, 40 of 40 on the test cluster (docs/evidence/M4-build/API_integration_run_2026-10-17_run3_frozen_build.txt); npm test at the frozen build 6408ab7: 459 tests, 451 pass, 0 fail, 8 skipped (the integration cases, which skip without a database); CI run 39061540226 on PR #136 (45c6b06) green; NV-102, NV-121 (docs/evidence/M4-build/). The integration cases run in CI on every PR to dev and main (a required check since 18/10/2026; TD-008), against a MongoDB 8.0 single-node replica set: 40 of 40, 0 skipped, on the dev push run 39079571516 (cb8bca3, 17/10/2026 23:35 UTC).</t>
  </si>
  <si>
    <t>Partially Met (frozen build 6408ab7): test and staging hold separate schemas, each inspected and provisioned by script; development and production are not shown (no production host, OI-21). The migration clause is not met in full: the counters collection on staging was created by hand (17/10/2026), not by a script.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</si>
</sst>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4"/>
      <color rgb="FF14304F"/>
      <name val="Arial"/>
      <family val="2"/>
    </font>
    <font>
      <sz val="9"/>
      <color rgb="FF5A6672"/>
      <name val="Arial"/>
      <family val="2"/>
    </font>
    <font>
      <b/>
      <sz val="9"/>
      <color rgb="FFFFFFFF"/>
      <name val="Arial"/>
      <family val="2"/>
    </font>
    <font>
      <sz val="9"/>
      <name val="Arial"/>
      <family val="2"/>
    </font>
    <font>
      <b/>
      <sz val="9"/>
      <name val="Arial"/>
      <family val="2"/>
    </font>
    <font>
      <b/>
      <sz val="12"/>
      <color rgb="FF14304F"/>
      <name val="Arial"/>
      <family val="2"/>
    </font>
    <font>
      <sz val="11"/>
      <color theme="1"/>
      <name val="Calibri"/>
      <family val="2"/>
      <scheme val="minor"/>
    </font>
  </fonts>
  <fills count="7">
    <fill>
      <patternFill patternType="none"/>
    </fill>
    <fill>
      <patternFill patternType="gray125"/>
    </fill>
    <fill>
      <patternFill patternType="solid">
        <fgColor rgb="FF14304F"/>
      </patternFill>
    </fill>
    <fill>
      <patternFill patternType="solid">
        <fgColor rgb="FFFDF3E3"/>
      </patternFill>
    </fill>
    <fill>
      <patternFill patternType="solid">
        <fgColor rgb="FFF2F4F6"/>
      </patternFill>
    </fill>
    <fill>
      <patternFill patternType="solid">
        <fgColor rgb="FFEAF5EE"/>
      </patternFill>
    </fill>
    <fill>
      <patternFill patternType="solid">
        <fgColor rgb="FFFBEAEA"/>
      </patternFill>
    </fill>
  </fills>
  <borders count="3">
    <border>
      <left/>
      <right/>
      <top/>
      <bottom/>
      <diagonal/>
    </border>
    <border>
      <left style="thin">
        <color rgb="FFC7D3DF"/>
      </left>
      <right style="thin">
        <color rgb="FFC7D3DF"/>
      </right>
      <top style="thin">
        <color rgb="FFC7D3DF"/>
      </top>
      <bottom style="thin">
        <color rgb="FFC7D3DF"/>
      </bottom>
      <diagonal/>
    </border>
    <border>
      <left style="thin">
        <color rgb="FFC7D3DF"/>
      </left>
      <right style="thin">
        <color rgb="FFC7D3DF"/>
      </right>
      <top/>
      <bottom/>
      <diagonal/>
    </border>
  </borders>
  <cellStyleXfs count="2">
    <xf numFmtId="0" fontId="0" fillId="0" borderId="0"/>
    <xf numFmtId="9" fontId="7" fillId="0" borderId="0" applyFont="0" applyFill="0" applyBorder="0" applyAlignment="0" applyProtection="0"/>
  </cellStyleXfs>
  <cellXfs count="20">
    <xf numFmtId="0" fontId="0" fillId="0" borderId="0" xfId="0"/>
    <xf numFmtId="0" fontId="1" fillId="0" borderId="0" xfId="0" applyFont="1"/>
    <xf numFmtId="0" fontId="3" fillId="2" borderId="1" xfId="0" applyFont="1" applyFill="1" applyBorder="1" applyAlignment="1">
      <alignment vertical="center" wrapText="1"/>
    </xf>
    <xf numFmtId="0" fontId="5" fillId="0" borderId="1" xfId="0" applyFont="1" applyBorder="1" applyAlignment="1">
      <alignment vertical="top" wrapText="1"/>
    </xf>
    <xf numFmtId="0" fontId="4" fillId="0" borderId="1" xfId="0" applyFont="1" applyBorder="1" applyAlignment="1">
      <alignment vertical="top" wrapText="1"/>
    </xf>
    <xf numFmtId="0" fontId="4" fillId="3" borderId="1" xfId="0" applyFont="1" applyFill="1" applyBorder="1" applyAlignment="1">
      <alignment vertical="top" wrapText="1"/>
    </xf>
    <xf numFmtId="0" fontId="4" fillId="4" borderId="1" xfId="0" applyFont="1" applyFill="1" applyBorder="1" applyAlignment="1">
      <alignment vertical="top" wrapText="1"/>
    </xf>
    <xf numFmtId="0" fontId="4" fillId="5" borderId="1" xfId="0" applyFont="1" applyFill="1" applyBorder="1" applyAlignment="1">
      <alignment vertical="top" wrapText="1"/>
    </xf>
    <xf numFmtId="0" fontId="4" fillId="6" borderId="1" xfId="0" applyFont="1" applyFill="1" applyBorder="1" applyAlignment="1">
      <alignment vertical="top" wrapText="1"/>
    </xf>
    <xf numFmtId="0" fontId="6" fillId="0" borderId="0" xfId="0" applyFont="1"/>
    <xf numFmtId="0" fontId="3" fillId="2" borderId="1" xfId="0" applyFont="1" applyFill="1" applyBorder="1"/>
    <xf numFmtId="0" fontId="5" fillId="0" borderId="0" xfId="0" applyFont="1"/>
    <xf numFmtId="0" fontId="3" fillId="2" borderId="2" xfId="0" applyFont="1" applyFill="1" applyBorder="1"/>
    <xf numFmtId="10" fontId="0" fillId="0" borderId="0" xfId="0" applyNumberFormat="1" applyAlignment="1">
      <alignment horizontal="center" vertical="center"/>
    </xf>
    <xf numFmtId="9" fontId="0" fillId="0" borderId="0" xfId="1" applyFont="1" applyAlignment="1">
      <alignment horizontal="center" vertical="center"/>
    </xf>
    <xf numFmtId="0" fontId="3" fillId="2" borderId="2" xfId="0" applyFont="1" applyFill="1" applyBorder="1" applyAlignment="1">
      <alignment vertical="center" wrapText="1"/>
    </xf>
    <xf numFmtId="0" fontId="0" fillId="0" borderId="0" xfId="0" applyAlignment="1">
      <alignment wrapText="1"/>
    </xf>
    <xf numFmtId="0" fontId="2" fillId="0" borderId="0" xfId="0" applyFont="1"/>
    <xf numFmtId="0" fontId="0" fillId="0" borderId="0" xfId="0"/>
    <xf numFmtId="0" fontId="2" fillId="0" borderId="0" xfId="0" applyFont="1" applyAlignment="1">
      <alignment horizontal="center" vertical="top" wrapText="1"/>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84"/>
  <sheetViews>
    <sheetView tabSelected="1" topLeftCell="H1" zoomScale="70" zoomScaleNormal="70" workbookViewId="0">
      <pane ySplit="5" topLeftCell="A73" activePane="bottomLeft" state="frozen"/>
      <selection pane="bottomLeft" activeCell="R74" sqref="R74"/>
    </sheetView>
  </sheetViews>
  <sheetFormatPr defaultRowHeight="14.4" x14ac:dyDescent="0.3"/>
  <cols>
    <col min="1" max="1" width="42.6640625" bestFit="1" customWidth="1"/>
    <col min="2" max="2" width="26" customWidth="1"/>
    <col min="3" max="3" width="66.109375" bestFit="1" customWidth="1"/>
    <col min="4" max="4" width="11.6640625" bestFit="1" customWidth="1"/>
    <col min="5" max="5" width="52" customWidth="1"/>
    <col min="6" max="6" width="33.33203125" bestFit="1" customWidth="1"/>
    <col min="7" max="7" width="38" bestFit="1" customWidth="1"/>
    <col min="8" max="8" width="41.109375" bestFit="1" customWidth="1"/>
    <col min="9" max="9" width="29" bestFit="1" customWidth="1"/>
    <col min="10" max="10" width="40" customWidth="1"/>
    <col min="11" max="11" width="45.33203125" customWidth="1"/>
    <col min="12" max="12" width="60.44140625" customWidth="1"/>
    <col min="13" max="13" width="21.88671875" bestFit="1" customWidth="1"/>
    <col min="14" max="14" width="36.6640625" bestFit="1" customWidth="1"/>
    <col min="15" max="15" width="20.5546875" customWidth="1"/>
    <col min="16" max="16" width="29.6640625" customWidth="1"/>
    <col min="17" max="17" width="26.77734375" customWidth="1"/>
    <col min="18" max="18" width="20.88671875" customWidth="1"/>
  </cols>
  <sheetData>
    <row r="1" spans="1:18" ht="17.399999999999999" x14ac:dyDescent="0.3">
      <c r="A1" s="1" t="s">
        <v>0</v>
      </c>
    </row>
    <row r="2" spans="1:18" ht="111.75" customHeight="1" x14ac:dyDescent="0.3">
      <c r="A2" s="19" t="s">
        <v>985</v>
      </c>
      <c r="B2" s="19"/>
      <c r="C2" s="19"/>
      <c r="D2" s="19"/>
      <c r="E2" s="19"/>
      <c r="F2" s="19"/>
      <c r="G2" s="19"/>
      <c r="H2" s="19"/>
      <c r="I2" s="19"/>
      <c r="J2" s="19"/>
      <c r="K2" s="19"/>
      <c r="L2" s="19"/>
      <c r="M2" s="19"/>
      <c r="N2" s="19"/>
    </row>
    <row r="3" spans="1:18" ht="70.95" customHeight="1" x14ac:dyDescent="0.3">
      <c r="A3" s="17" t="s">
        <v>1</v>
      </c>
      <c r="B3" s="18"/>
      <c r="C3" s="18"/>
      <c r="D3" s="18"/>
      <c r="E3" s="18"/>
      <c r="F3" s="18"/>
      <c r="G3" s="18"/>
      <c r="H3" s="18"/>
      <c r="I3" s="18"/>
      <c r="J3" s="18"/>
      <c r="K3" s="18"/>
      <c r="L3" s="18"/>
      <c r="M3" s="18"/>
      <c r="N3" s="18"/>
    </row>
    <row r="5" spans="1:18" ht="24" x14ac:dyDescent="0.3">
      <c r="A5" s="2" t="s">
        <v>2</v>
      </c>
      <c r="B5" s="2" t="s">
        <v>3</v>
      </c>
      <c r="C5" s="2" t="s">
        <v>4</v>
      </c>
      <c r="D5" s="2" t="s">
        <v>5</v>
      </c>
      <c r="E5" s="2" t="s">
        <v>6</v>
      </c>
      <c r="F5" s="2" t="s">
        <v>7</v>
      </c>
      <c r="G5" s="2" t="s">
        <v>8</v>
      </c>
      <c r="H5" s="2" t="s">
        <v>9</v>
      </c>
      <c r="I5" s="2" t="s">
        <v>10</v>
      </c>
      <c r="J5" s="2" t="s">
        <v>11</v>
      </c>
      <c r="K5" s="2" t="s">
        <v>12</v>
      </c>
      <c r="L5" s="2" t="s">
        <v>13</v>
      </c>
      <c r="M5" s="2" t="s">
        <v>14</v>
      </c>
      <c r="N5" s="2" t="s">
        <v>15</v>
      </c>
      <c r="O5" s="15" t="s">
        <v>936</v>
      </c>
      <c r="P5" s="15" t="s">
        <v>576</v>
      </c>
      <c r="Q5" s="15" t="s">
        <v>937</v>
      </c>
      <c r="R5" s="15" t="s">
        <v>938</v>
      </c>
    </row>
    <row r="6" spans="1:18" ht="201.6" x14ac:dyDescent="0.3">
      <c r="A6" s="3" t="s">
        <v>16</v>
      </c>
      <c r="B6" s="4" t="s">
        <v>17</v>
      </c>
      <c r="C6" s="4" t="s">
        <v>18</v>
      </c>
      <c r="D6" s="4" t="s">
        <v>19</v>
      </c>
      <c r="E6" s="4" t="s">
        <v>20</v>
      </c>
      <c r="F6" s="5" t="s">
        <v>21</v>
      </c>
      <c r="G6" s="5" t="s">
        <v>22</v>
      </c>
      <c r="H6" s="5" t="s">
        <v>23</v>
      </c>
      <c r="I6" s="5" t="s">
        <v>559</v>
      </c>
      <c r="J6" s="4" t="s">
        <v>24</v>
      </c>
      <c r="K6" s="4" t="s">
        <v>577</v>
      </c>
      <c r="L6" s="4" t="s">
        <v>578</v>
      </c>
      <c r="M6" s="7" t="s">
        <v>25</v>
      </c>
      <c r="N6" s="4" t="s">
        <v>560</v>
      </c>
      <c r="O6" s="16" t="s">
        <v>706</v>
      </c>
      <c r="P6" s="16" t="s">
        <v>707</v>
      </c>
      <c r="Q6" s="16" t="s">
        <v>708</v>
      </c>
      <c r="R6" s="16" t="s">
        <v>709</v>
      </c>
    </row>
    <row r="7" spans="1:18" ht="216" x14ac:dyDescent="0.3">
      <c r="A7" s="3" t="s">
        <v>27</v>
      </c>
      <c r="B7" s="4" t="s">
        <v>28</v>
      </c>
      <c r="C7" s="4" t="s">
        <v>29</v>
      </c>
      <c r="D7" s="4" t="s">
        <v>19</v>
      </c>
      <c r="E7" s="4" t="s">
        <v>30</v>
      </c>
      <c r="F7" s="5" t="s">
        <v>21</v>
      </c>
      <c r="G7" s="5" t="s">
        <v>31</v>
      </c>
      <c r="H7" s="5" t="s">
        <v>32</v>
      </c>
      <c r="I7" s="5" t="s">
        <v>33</v>
      </c>
      <c r="J7" s="4" t="s">
        <v>24</v>
      </c>
      <c r="K7" s="4" t="s">
        <v>579</v>
      </c>
      <c r="L7" s="4" t="s">
        <v>580</v>
      </c>
      <c r="M7" s="7" t="s">
        <v>25</v>
      </c>
      <c r="N7" s="4" t="s">
        <v>34</v>
      </c>
      <c r="O7" s="16" t="s">
        <v>710</v>
      </c>
      <c r="P7" s="16" t="s">
        <v>711</v>
      </c>
      <c r="Q7" s="16" t="s">
        <v>712</v>
      </c>
      <c r="R7" s="16" t="s">
        <v>713</v>
      </c>
    </row>
    <row r="8" spans="1:18" ht="302.39999999999998" x14ac:dyDescent="0.3">
      <c r="A8" s="3" t="s">
        <v>35</v>
      </c>
      <c r="B8" s="4" t="s">
        <v>36</v>
      </c>
      <c r="C8" s="4" t="s">
        <v>37</v>
      </c>
      <c r="D8" s="4" t="s">
        <v>19</v>
      </c>
      <c r="E8" s="4" t="s">
        <v>38</v>
      </c>
      <c r="F8" s="5" t="s">
        <v>21</v>
      </c>
      <c r="G8" s="5" t="s">
        <v>39</v>
      </c>
      <c r="H8" s="5" t="s">
        <v>40</v>
      </c>
      <c r="I8" s="5" t="s">
        <v>41</v>
      </c>
      <c r="J8" s="4" t="s">
        <v>24</v>
      </c>
      <c r="K8" s="4" t="s">
        <v>581</v>
      </c>
      <c r="L8" s="4" t="s">
        <v>582</v>
      </c>
      <c r="M8" s="7" t="s">
        <v>25</v>
      </c>
      <c r="N8" s="4" t="s">
        <v>42</v>
      </c>
      <c r="O8" s="16" t="s">
        <v>714</v>
      </c>
      <c r="P8" s="16" t="s">
        <v>715</v>
      </c>
      <c r="Q8" s="16" t="s">
        <v>716</v>
      </c>
      <c r="R8" s="16" t="s">
        <v>717</v>
      </c>
    </row>
    <row r="9" spans="1:18" ht="230.4" x14ac:dyDescent="0.3">
      <c r="A9" s="3" t="s">
        <v>43</v>
      </c>
      <c r="B9" s="4" t="s">
        <v>44</v>
      </c>
      <c r="C9" s="4" t="s">
        <v>45</v>
      </c>
      <c r="D9" s="4" t="s">
        <v>19</v>
      </c>
      <c r="E9" s="4" t="s">
        <v>46</v>
      </c>
      <c r="F9" s="5" t="s">
        <v>21</v>
      </c>
      <c r="G9" s="5" t="s">
        <v>561</v>
      </c>
      <c r="H9" s="5" t="s">
        <v>47</v>
      </c>
      <c r="I9" s="5" t="s">
        <v>562</v>
      </c>
      <c r="J9" s="4" t="s">
        <v>24</v>
      </c>
      <c r="K9" s="4" t="s">
        <v>583</v>
      </c>
      <c r="L9" s="4" t="s">
        <v>584</v>
      </c>
      <c r="M9" s="7" t="s">
        <v>25</v>
      </c>
      <c r="N9" s="4" t="s">
        <v>563</v>
      </c>
      <c r="O9" s="16" t="s">
        <v>718</v>
      </c>
      <c r="P9" s="16" t="s">
        <v>719</v>
      </c>
      <c r="Q9" s="16" t="s">
        <v>720</v>
      </c>
      <c r="R9" s="16" t="s">
        <v>721</v>
      </c>
    </row>
    <row r="10" spans="1:18" ht="244.8" x14ac:dyDescent="0.3">
      <c r="A10" s="3" t="s">
        <v>49</v>
      </c>
      <c r="B10" s="4" t="s">
        <v>50</v>
      </c>
      <c r="C10" s="4" t="s">
        <v>51</v>
      </c>
      <c r="D10" s="4" t="s">
        <v>19</v>
      </c>
      <c r="E10" s="4" t="s">
        <v>52</v>
      </c>
      <c r="F10" s="5" t="s">
        <v>53</v>
      </c>
      <c r="G10" s="5" t="s">
        <v>54</v>
      </c>
      <c r="H10" s="5" t="s">
        <v>55</v>
      </c>
      <c r="I10" s="5" t="s">
        <v>33</v>
      </c>
      <c r="J10" s="4" t="s">
        <v>24</v>
      </c>
      <c r="K10" s="4" t="s">
        <v>585</v>
      </c>
      <c r="L10" s="4" t="s">
        <v>586</v>
      </c>
      <c r="M10" s="7" t="s">
        <v>25</v>
      </c>
      <c r="N10" s="4" t="s">
        <v>56</v>
      </c>
      <c r="O10" s="16" t="s">
        <v>722</v>
      </c>
      <c r="P10" s="16" t="s">
        <v>723</v>
      </c>
      <c r="Q10" s="16" t="s">
        <v>724</v>
      </c>
      <c r="R10" s="16" t="s">
        <v>725</v>
      </c>
    </row>
    <row r="11" spans="1:18" ht="216" x14ac:dyDescent="0.3">
      <c r="A11" s="3" t="s">
        <v>57</v>
      </c>
      <c r="B11" s="4" t="s">
        <v>58</v>
      </c>
      <c r="C11" s="4" t="s">
        <v>59</v>
      </c>
      <c r="D11" s="4" t="s">
        <v>19</v>
      </c>
      <c r="E11" s="4" t="s">
        <v>60</v>
      </c>
      <c r="F11" s="5" t="s">
        <v>61</v>
      </c>
      <c r="G11" s="5" t="s">
        <v>62</v>
      </c>
      <c r="H11" s="5" t="s">
        <v>63</v>
      </c>
      <c r="I11" s="5" t="s">
        <v>64</v>
      </c>
      <c r="J11" s="4" t="s">
        <v>24</v>
      </c>
      <c r="K11" s="4" t="s">
        <v>587</v>
      </c>
      <c r="L11" s="4" t="s">
        <v>588</v>
      </c>
      <c r="M11" s="7" t="s">
        <v>25</v>
      </c>
      <c r="N11" s="4" t="s">
        <v>65</v>
      </c>
      <c r="O11" s="16" t="s">
        <v>726</v>
      </c>
      <c r="P11" s="16" t="s">
        <v>727</v>
      </c>
      <c r="Q11" s="16" t="s">
        <v>728</v>
      </c>
      <c r="R11" s="16" t="s">
        <v>729</v>
      </c>
    </row>
    <row r="12" spans="1:18" ht="201.6" x14ac:dyDescent="0.3">
      <c r="A12" s="3" t="s">
        <v>66</v>
      </c>
      <c r="B12" s="4" t="s">
        <v>67</v>
      </c>
      <c r="C12" s="4" t="s">
        <v>68</v>
      </c>
      <c r="D12" s="4" t="s">
        <v>19</v>
      </c>
      <c r="E12" s="4" t="s">
        <v>69</v>
      </c>
      <c r="F12" s="5" t="s">
        <v>70</v>
      </c>
      <c r="G12" s="5" t="s">
        <v>71</v>
      </c>
      <c r="H12" s="5" t="s">
        <v>72</v>
      </c>
      <c r="I12" s="5" t="s">
        <v>73</v>
      </c>
      <c r="J12" s="4" t="s">
        <v>24</v>
      </c>
      <c r="K12" s="4" t="s">
        <v>589</v>
      </c>
      <c r="L12" s="4" t="s">
        <v>590</v>
      </c>
      <c r="M12" s="7" t="s">
        <v>25</v>
      </c>
      <c r="N12" s="4" t="s">
        <v>74</v>
      </c>
      <c r="O12" s="16" t="s">
        <v>730</v>
      </c>
      <c r="P12" s="16" t="s">
        <v>731</v>
      </c>
      <c r="Q12" s="16" t="s">
        <v>708</v>
      </c>
      <c r="R12" s="16" t="s">
        <v>732</v>
      </c>
    </row>
    <row r="13" spans="1:18" ht="201.6" x14ac:dyDescent="0.3">
      <c r="A13" s="3" t="s">
        <v>75</v>
      </c>
      <c r="B13" s="4" t="s">
        <v>76</v>
      </c>
      <c r="C13" s="4" t="s">
        <v>77</v>
      </c>
      <c r="D13" s="4" t="s">
        <v>19</v>
      </c>
      <c r="E13" s="4" t="s">
        <v>78</v>
      </c>
      <c r="F13" s="5" t="s">
        <v>61</v>
      </c>
      <c r="G13" s="5" t="s">
        <v>79</v>
      </c>
      <c r="H13" s="5" t="s">
        <v>80</v>
      </c>
      <c r="I13" s="5" t="s">
        <v>33</v>
      </c>
      <c r="J13" s="4" t="s">
        <v>24</v>
      </c>
      <c r="K13" s="4" t="s">
        <v>591</v>
      </c>
      <c r="L13" s="4" t="s">
        <v>592</v>
      </c>
      <c r="M13" s="7" t="s">
        <v>25</v>
      </c>
      <c r="N13" s="4" t="s">
        <v>48</v>
      </c>
      <c r="O13" s="16" t="s">
        <v>733</v>
      </c>
      <c r="P13" s="16" t="s">
        <v>734</v>
      </c>
      <c r="Q13" s="16" t="s">
        <v>708</v>
      </c>
      <c r="R13" s="16" t="s">
        <v>735</v>
      </c>
    </row>
    <row r="14" spans="1:18" ht="216" x14ac:dyDescent="0.3">
      <c r="A14" s="3" t="s">
        <v>81</v>
      </c>
      <c r="B14" s="4" t="s">
        <v>82</v>
      </c>
      <c r="C14" s="4" t="s">
        <v>83</v>
      </c>
      <c r="D14" s="4" t="s">
        <v>84</v>
      </c>
      <c r="E14" s="4" t="s">
        <v>85</v>
      </c>
      <c r="F14" s="5" t="s">
        <v>61</v>
      </c>
      <c r="G14" s="5" t="s">
        <v>86</v>
      </c>
      <c r="H14" s="5" t="s">
        <v>87</v>
      </c>
      <c r="I14" s="5" t="s">
        <v>88</v>
      </c>
      <c r="J14" s="4" t="s">
        <v>24</v>
      </c>
      <c r="K14" s="4" t="s">
        <v>593</v>
      </c>
      <c r="L14" s="4" t="s">
        <v>594</v>
      </c>
      <c r="M14" s="7" t="s">
        <v>25</v>
      </c>
      <c r="N14" s="4" t="s">
        <v>89</v>
      </c>
      <c r="O14" s="16" t="s">
        <v>736</v>
      </c>
      <c r="P14" s="16" t="s">
        <v>737</v>
      </c>
      <c r="Q14" s="16" t="s">
        <v>738</v>
      </c>
      <c r="R14" s="16" t="s">
        <v>739</v>
      </c>
    </row>
    <row r="15" spans="1:18" ht="201.6" x14ac:dyDescent="0.3">
      <c r="A15" s="3" t="s">
        <v>90</v>
      </c>
      <c r="B15" s="4" t="s">
        <v>91</v>
      </c>
      <c r="C15" s="4" t="s">
        <v>92</v>
      </c>
      <c r="D15" s="4" t="s">
        <v>19</v>
      </c>
      <c r="E15" s="4" t="s">
        <v>93</v>
      </c>
      <c r="F15" s="5" t="s">
        <v>94</v>
      </c>
      <c r="G15" s="5" t="s">
        <v>95</v>
      </c>
      <c r="H15" s="4" t="s">
        <v>96</v>
      </c>
      <c r="I15" s="5" t="s">
        <v>33</v>
      </c>
      <c r="J15" s="4" t="s">
        <v>24</v>
      </c>
      <c r="K15" s="4" t="s">
        <v>595</v>
      </c>
      <c r="L15" s="4" t="s">
        <v>596</v>
      </c>
      <c r="M15" s="7" t="s">
        <v>25</v>
      </c>
      <c r="N15" s="4" t="s">
        <v>48</v>
      </c>
      <c r="O15" s="16" t="s">
        <v>740</v>
      </c>
      <c r="P15" s="16" t="s">
        <v>741</v>
      </c>
      <c r="Q15" s="16" t="s">
        <v>708</v>
      </c>
      <c r="R15" s="16" t="s">
        <v>742</v>
      </c>
    </row>
    <row r="16" spans="1:18" ht="259.2" x14ac:dyDescent="0.3">
      <c r="A16" s="3" t="s">
        <v>97</v>
      </c>
      <c r="B16" s="4" t="s">
        <v>98</v>
      </c>
      <c r="C16" s="4" t="s">
        <v>99</v>
      </c>
      <c r="D16" s="4" t="s">
        <v>19</v>
      </c>
      <c r="E16" s="4" t="s">
        <v>100</v>
      </c>
      <c r="F16" s="5" t="s">
        <v>61</v>
      </c>
      <c r="G16" s="5" t="s">
        <v>101</v>
      </c>
      <c r="H16" s="4" t="s">
        <v>102</v>
      </c>
      <c r="I16" s="5" t="s">
        <v>33</v>
      </c>
      <c r="J16" s="4" t="s">
        <v>24</v>
      </c>
      <c r="K16" s="4" t="s">
        <v>597</v>
      </c>
      <c r="L16" s="4" t="s">
        <v>598</v>
      </c>
      <c r="M16" s="7" t="s">
        <v>25</v>
      </c>
      <c r="N16" s="4" t="s">
        <v>103</v>
      </c>
      <c r="O16" s="16" t="s">
        <v>743</v>
      </c>
      <c r="P16" s="16" t="s">
        <v>744</v>
      </c>
      <c r="Q16" s="16" t="s">
        <v>745</v>
      </c>
      <c r="R16" s="16" t="s">
        <v>746</v>
      </c>
    </row>
    <row r="17" spans="1:18" ht="216" x14ac:dyDescent="0.3">
      <c r="A17" s="3" t="s">
        <v>104</v>
      </c>
      <c r="B17" s="4" t="s">
        <v>105</v>
      </c>
      <c r="C17" s="4" t="s">
        <v>106</v>
      </c>
      <c r="D17" s="4" t="s">
        <v>19</v>
      </c>
      <c r="E17" s="4" t="s">
        <v>107</v>
      </c>
      <c r="F17" s="5" t="s">
        <v>61</v>
      </c>
      <c r="G17" s="5" t="s">
        <v>108</v>
      </c>
      <c r="H17" s="5" t="s">
        <v>109</v>
      </c>
      <c r="I17" s="5" t="s">
        <v>33</v>
      </c>
      <c r="J17" s="4" t="s">
        <v>24</v>
      </c>
      <c r="K17" s="4" t="s">
        <v>599</v>
      </c>
      <c r="L17" s="4" t="s">
        <v>600</v>
      </c>
      <c r="M17" s="7" t="s">
        <v>25</v>
      </c>
      <c r="N17" s="4" t="s">
        <v>110</v>
      </c>
      <c r="O17" s="16" t="s">
        <v>747</v>
      </c>
      <c r="P17" s="16" t="s">
        <v>748</v>
      </c>
      <c r="Q17" s="16" t="s">
        <v>749</v>
      </c>
      <c r="R17" s="16" t="s">
        <v>750</v>
      </c>
    </row>
    <row r="18" spans="1:18" ht="201.6" x14ac:dyDescent="0.3">
      <c r="A18" s="3" t="s">
        <v>111</v>
      </c>
      <c r="B18" s="4" t="s">
        <v>105</v>
      </c>
      <c r="C18" s="4" t="s">
        <v>112</v>
      </c>
      <c r="D18" s="4" t="s">
        <v>19</v>
      </c>
      <c r="E18" s="4" t="s">
        <v>113</v>
      </c>
      <c r="F18" s="5" t="s">
        <v>61</v>
      </c>
      <c r="G18" s="5" t="s">
        <v>114</v>
      </c>
      <c r="H18" s="5" t="s">
        <v>115</v>
      </c>
      <c r="I18" s="5" t="s">
        <v>33</v>
      </c>
      <c r="J18" s="4" t="s">
        <v>24</v>
      </c>
      <c r="K18" s="4" t="s">
        <v>601</v>
      </c>
      <c r="L18" s="4" t="s">
        <v>602</v>
      </c>
      <c r="M18" s="7" t="s">
        <v>25</v>
      </c>
      <c r="N18" s="4" t="s">
        <v>48</v>
      </c>
      <c r="O18" s="16" t="s">
        <v>747</v>
      </c>
      <c r="P18" s="16" t="s">
        <v>751</v>
      </c>
      <c r="Q18" s="16" t="s">
        <v>708</v>
      </c>
      <c r="R18" s="16" t="s">
        <v>752</v>
      </c>
    </row>
    <row r="19" spans="1:18" ht="216" x14ac:dyDescent="0.3">
      <c r="A19" s="3" t="s">
        <v>116</v>
      </c>
      <c r="B19" s="4" t="s">
        <v>117</v>
      </c>
      <c r="C19" s="4" t="s">
        <v>118</v>
      </c>
      <c r="D19" s="4" t="s">
        <v>84</v>
      </c>
      <c r="E19" s="4" t="s">
        <v>119</v>
      </c>
      <c r="F19" s="5" t="s">
        <v>94</v>
      </c>
      <c r="G19" s="5" t="s">
        <v>120</v>
      </c>
      <c r="H19" s="5" t="s">
        <v>121</v>
      </c>
      <c r="I19" s="5" t="s">
        <v>122</v>
      </c>
      <c r="J19" s="4" t="s">
        <v>24</v>
      </c>
      <c r="K19" s="4" t="s">
        <v>603</v>
      </c>
      <c r="L19" s="4" t="s">
        <v>604</v>
      </c>
      <c r="M19" s="7" t="s">
        <v>25</v>
      </c>
      <c r="N19" s="4" t="s">
        <v>48</v>
      </c>
      <c r="O19" s="16" t="s">
        <v>753</v>
      </c>
      <c r="P19" s="16" t="s">
        <v>754</v>
      </c>
      <c r="Q19" s="16" t="s">
        <v>755</v>
      </c>
      <c r="R19" s="16" t="s">
        <v>756</v>
      </c>
    </row>
    <row r="20" spans="1:18" ht="144" x14ac:dyDescent="0.3">
      <c r="A20" s="3" t="s">
        <v>123</v>
      </c>
      <c r="B20" s="4" t="s">
        <v>124</v>
      </c>
      <c r="C20" s="4" t="s">
        <v>125</v>
      </c>
      <c r="D20" s="4" t="s">
        <v>19</v>
      </c>
      <c r="E20" s="4" t="s">
        <v>126</v>
      </c>
      <c r="F20" s="5" t="s">
        <v>61</v>
      </c>
      <c r="G20" s="5" t="s">
        <v>127</v>
      </c>
      <c r="H20" s="5" t="s">
        <v>128</v>
      </c>
      <c r="I20" s="5" t="s">
        <v>33</v>
      </c>
      <c r="J20" s="4" t="s">
        <v>24</v>
      </c>
      <c r="K20" s="4" t="s">
        <v>605</v>
      </c>
      <c r="L20" s="4" t="s">
        <v>606</v>
      </c>
      <c r="M20" s="7" t="s">
        <v>25</v>
      </c>
      <c r="N20" s="4" t="s">
        <v>129</v>
      </c>
      <c r="O20" s="16" t="s">
        <v>757</v>
      </c>
      <c r="P20" s="16" t="s">
        <v>758</v>
      </c>
      <c r="Q20" s="16" t="s">
        <v>759</v>
      </c>
      <c r="R20" s="16" t="s">
        <v>760</v>
      </c>
    </row>
    <row r="21" spans="1:18" ht="230.4" x14ac:dyDescent="0.3">
      <c r="A21" s="3" t="s">
        <v>130</v>
      </c>
      <c r="B21" s="4" t="s">
        <v>131</v>
      </c>
      <c r="C21" s="4" t="s">
        <v>132</v>
      </c>
      <c r="D21" s="4" t="s">
        <v>19</v>
      </c>
      <c r="E21" s="4" t="s">
        <v>133</v>
      </c>
      <c r="F21" s="5" t="s">
        <v>21</v>
      </c>
      <c r="G21" s="5" t="s">
        <v>134</v>
      </c>
      <c r="H21" s="5" t="s">
        <v>135</v>
      </c>
      <c r="I21" s="5" t="s">
        <v>33</v>
      </c>
      <c r="J21" s="4" t="s">
        <v>24</v>
      </c>
      <c r="K21" s="4" t="s">
        <v>607</v>
      </c>
      <c r="L21" s="4" t="s">
        <v>608</v>
      </c>
      <c r="M21" s="7" t="s">
        <v>25</v>
      </c>
      <c r="N21" s="4" t="s">
        <v>136</v>
      </c>
      <c r="O21" s="16" t="s">
        <v>761</v>
      </c>
      <c r="P21" s="16" t="s">
        <v>762</v>
      </c>
      <c r="Q21" s="16" t="s">
        <v>763</v>
      </c>
      <c r="R21" s="16" t="s">
        <v>764</v>
      </c>
    </row>
    <row r="22" spans="1:18" ht="115.2" x14ac:dyDescent="0.3">
      <c r="A22" s="3" t="s">
        <v>137</v>
      </c>
      <c r="B22" s="4" t="s">
        <v>138</v>
      </c>
      <c r="C22" s="4" t="s">
        <v>139</v>
      </c>
      <c r="D22" s="4" t="s">
        <v>19</v>
      </c>
      <c r="E22" s="4" t="s">
        <v>140</v>
      </c>
      <c r="F22" s="5" t="s">
        <v>53</v>
      </c>
      <c r="G22" s="5" t="s">
        <v>141</v>
      </c>
      <c r="H22" s="5" t="s">
        <v>142</v>
      </c>
      <c r="I22" s="5" t="s">
        <v>143</v>
      </c>
      <c r="J22" s="4" t="s">
        <v>24</v>
      </c>
      <c r="K22" s="4" t="s">
        <v>609</v>
      </c>
      <c r="L22" s="4" t="s">
        <v>610</v>
      </c>
      <c r="M22" s="7" t="s">
        <v>25</v>
      </c>
      <c r="N22" s="4" t="s">
        <v>144</v>
      </c>
      <c r="O22" s="16" t="s">
        <v>765</v>
      </c>
      <c r="P22" s="16" t="s">
        <v>766</v>
      </c>
      <c r="Q22" s="16" t="s">
        <v>767</v>
      </c>
      <c r="R22" s="16" t="s">
        <v>768</v>
      </c>
    </row>
    <row r="23" spans="1:18" ht="216" x14ac:dyDescent="0.3">
      <c r="A23" s="3" t="s">
        <v>145</v>
      </c>
      <c r="B23" s="4" t="s">
        <v>146</v>
      </c>
      <c r="C23" s="4" t="s">
        <v>147</v>
      </c>
      <c r="D23" s="4" t="s">
        <v>19</v>
      </c>
      <c r="E23" s="4" t="s">
        <v>148</v>
      </c>
      <c r="F23" s="5" t="s">
        <v>21</v>
      </c>
      <c r="G23" s="5" t="s">
        <v>149</v>
      </c>
      <c r="H23" s="5" t="s">
        <v>150</v>
      </c>
      <c r="I23" s="5" t="s">
        <v>33</v>
      </c>
      <c r="J23" s="4" t="s">
        <v>24</v>
      </c>
      <c r="K23" s="4" t="s">
        <v>611</v>
      </c>
      <c r="L23" s="4" t="s">
        <v>612</v>
      </c>
      <c r="M23" s="7" t="s">
        <v>25</v>
      </c>
      <c r="N23" s="4" t="s">
        <v>48</v>
      </c>
      <c r="O23" s="16" t="s">
        <v>769</v>
      </c>
      <c r="P23" s="16" t="s">
        <v>770</v>
      </c>
      <c r="Q23" s="16" t="s">
        <v>771</v>
      </c>
      <c r="R23" s="16" t="s">
        <v>772</v>
      </c>
    </row>
    <row r="24" spans="1:18" ht="216" x14ac:dyDescent="0.3">
      <c r="A24" s="3" t="s">
        <v>151</v>
      </c>
      <c r="B24" s="4" t="s">
        <v>152</v>
      </c>
      <c r="C24" s="4" t="s">
        <v>153</v>
      </c>
      <c r="D24" s="4" t="s">
        <v>19</v>
      </c>
      <c r="E24" s="4" t="s">
        <v>154</v>
      </c>
      <c r="F24" s="5" t="s">
        <v>21</v>
      </c>
      <c r="G24" s="5" t="s">
        <v>155</v>
      </c>
      <c r="H24" s="5" t="s">
        <v>156</v>
      </c>
      <c r="I24" s="5" t="s">
        <v>33</v>
      </c>
      <c r="J24" s="4" t="s">
        <v>24</v>
      </c>
      <c r="K24" s="4" t="s">
        <v>613</v>
      </c>
      <c r="L24" s="4" t="s">
        <v>614</v>
      </c>
      <c r="M24" s="8" t="s">
        <v>157</v>
      </c>
      <c r="N24" s="4" t="s">
        <v>158</v>
      </c>
      <c r="O24" s="16" t="s">
        <v>773</v>
      </c>
      <c r="P24" s="16" t="s">
        <v>774</v>
      </c>
      <c r="Q24" s="16" t="s">
        <v>775</v>
      </c>
      <c r="R24" s="16" t="s">
        <v>776</v>
      </c>
    </row>
    <row r="25" spans="1:18" ht="230.4" x14ac:dyDescent="0.3">
      <c r="A25" s="3" t="s">
        <v>159</v>
      </c>
      <c r="B25" s="4" t="s">
        <v>160</v>
      </c>
      <c r="C25" s="4" t="s">
        <v>161</v>
      </c>
      <c r="D25" s="4" t="s">
        <v>19</v>
      </c>
      <c r="E25" s="4" t="s">
        <v>162</v>
      </c>
      <c r="F25" s="5" t="s">
        <v>163</v>
      </c>
      <c r="G25" s="5" t="s">
        <v>164</v>
      </c>
      <c r="H25" s="5" t="s">
        <v>165</v>
      </c>
      <c r="I25" s="5" t="s">
        <v>166</v>
      </c>
      <c r="J25" s="4" t="s">
        <v>24</v>
      </c>
      <c r="K25" s="4" t="s">
        <v>615</v>
      </c>
      <c r="L25" s="4" t="s">
        <v>616</v>
      </c>
      <c r="M25" s="7" t="s">
        <v>25</v>
      </c>
      <c r="N25" s="4" t="s">
        <v>26</v>
      </c>
      <c r="O25" s="16" t="s">
        <v>777</v>
      </c>
      <c r="P25" s="16" t="s">
        <v>778</v>
      </c>
      <c r="Q25" s="16" t="s">
        <v>779</v>
      </c>
      <c r="R25" s="16" t="s">
        <v>780</v>
      </c>
    </row>
    <row r="26" spans="1:18" ht="86.4" x14ac:dyDescent="0.3">
      <c r="A26" s="3" t="s">
        <v>167</v>
      </c>
      <c r="B26" s="4" t="s">
        <v>160</v>
      </c>
      <c r="C26" s="4" t="s">
        <v>168</v>
      </c>
      <c r="D26" s="4" t="s">
        <v>19</v>
      </c>
      <c r="E26" s="4" t="s">
        <v>169</v>
      </c>
      <c r="F26" s="5" t="s">
        <v>163</v>
      </c>
      <c r="G26" s="5" t="s">
        <v>170</v>
      </c>
      <c r="H26" s="5" t="s">
        <v>171</v>
      </c>
      <c r="I26" s="5" t="s">
        <v>172</v>
      </c>
      <c r="J26" s="4" t="s">
        <v>24</v>
      </c>
      <c r="K26" s="4" t="s">
        <v>617</v>
      </c>
      <c r="L26" s="4" t="s">
        <v>618</v>
      </c>
      <c r="M26" s="7" t="s">
        <v>25</v>
      </c>
      <c r="N26" s="4" t="s">
        <v>173</v>
      </c>
      <c r="O26" s="16" t="s">
        <v>781</v>
      </c>
      <c r="P26" s="16" t="s">
        <v>782</v>
      </c>
      <c r="Q26" s="16" t="s">
        <v>783</v>
      </c>
      <c r="R26" s="16" t="s">
        <v>784</v>
      </c>
    </row>
    <row r="27" spans="1:18" ht="86.4" x14ac:dyDescent="0.3">
      <c r="A27" s="3" t="s">
        <v>174</v>
      </c>
      <c r="B27" s="4" t="s">
        <v>160</v>
      </c>
      <c r="C27" s="4" t="s">
        <v>175</v>
      </c>
      <c r="D27" s="4" t="s">
        <v>176</v>
      </c>
      <c r="E27" s="4" t="s">
        <v>177</v>
      </c>
      <c r="F27" s="5" t="s">
        <v>163</v>
      </c>
      <c r="G27" s="5" t="s">
        <v>178</v>
      </c>
      <c r="H27" s="5" t="s">
        <v>179</v>
      </c>
      <c r="I27" s="5" t="s">
        <v>33</v>
      </c>
      <c r="J27" s="4" t="s">
        <v>24</v>
      </c>
      <c r="K27" s="4" t="s">
        <v>619</v>
      </c>
      <c r="L27" s="4" t="s">
        <v>618</v>
      </c>
      <c r="M27" s="7" t="s">
        <v>25</v>
      </c>
      <c r="N27" s="4" t="s">
        <v>48</v>
      </c>
      <c r="O27" s="16" t="s">
        <v>781</v>
      </c>
      <c r="P27" s="16" t="s">
        <v>785</v>
      </c>
      <c r="Q27" s="16" t="s">
        <v>783</v>
      </c>
      <c r="R27" s="16" t="s">
        <v>784</v>
      </c>
    </row>
    <row r="28" spans="1:18" ht="201.6" x14ac:dyDescent="0.3">
      <c r="A28" s="3" t="s">
        <v>180</v>
      </c>
      <c r="B28" s="4" t="s">
        <v>181</v>
      </c>
      <c r="C28" s="4" t="s">
        <v>182</v>
      </c>
      <c r="D28" s="4" t="s">
        <v>19</v>
      </c>
      <c r="E28" s="4" t="s">
        <v>183</v>
      </c>
      <c r="F28" s="5" t="s">
        <v>21</v>
      </c>
      <c r="G28" s="5" t="s">
        <v>184</v>
      </c>
      <c r="H28" s="5" t="s">
        <v>185</v>
      </c>
      <c r="I28" s="5" t="s">
        <v>33</v>
      </c>
      <c r="J28" s="4" t="s">
        <v>24</v>
      </c>
      <c r="K28" s="4" t="s">
        <v>620</v>
      </c>
      <c r="L28" s="4" t="s">
        <v>621</v>
      </c>
      <c r="M28" s="7" t="s">
        <v>25</v>
      </c>
      <c r="N28" s="4" t="s">
        <v>48</v>
      </c>
      <c r="O28" s="16" t="s">
        <v>786</v>
      </c>
      <c r="P28" s="16" t="s">
        <v>787</v>
      </c>
      <c r="Q28" s="16" t="s">
        <v>708</v>
      </c>
      <c r="R28" s="16" t="s">
        <v>788</v>
      </c>
    </row>
    <row r="29" spans="1:18" ht="230.4" x14ac:dyDescent="0.3">
      <c r="A29" s="3" t="s">
        <v>186</v>
      </c>
      <c r="B29" s="4" t="s">
        <v>187</v>
      </c>
      <c r="C29" s="4" t="s">
        <v>188</v>
      </c>
      <c r="D29" s="4" t="s">
        <v>19</v>
      </c>
      <c r="E29" s="4" t="s">
        <v>189</v>
      </c>
      <c r="F29" s="5" t="s">
        <v>21</v>
      </c>
      <c r="G29" s="5" t="s">
        <v>190</v>
      </c>
      <c r="H29" s="5" t="s">
        <v>191</v>
      </c>
      <c r="I29" s="5" t="s">
        <v>192</v>
      </c>
      <c r="J29" s="4" t="s">
        <v>24</v>
      </c>
      <c r="K29" s="4" t="s">
        <v>622</v>
      </c>
      <c r="L29" s="4" t="s">
        <v>623</v>
      </c>
      <c r="M29" s="7" t="s">
        <v>25</v>
      </c>
      <c r="N29" s="4" t="s">
        <v>65</v>
      </c>
      <c r="O29" s="16" t="s">
        <v>789</v>
      </c>
      <c r="P29" s="16" t="s">
        <v>790</v>
      </c>
      <c r="Q29" s="16" t="s">
        <v>791</v>
      </c>
      <c r="R29" s="16" t="s">
        <v>792</v>
      </c>
    </row>
    <row r="30" spans="1:18" ht="216" x14ac:dyDescent="0.3">
      <c r="A30" s="3" t="s">
        <v>193</v>
      </c>
      <c r="B30" s="4" t="s">
        <v>194</v>
      </c>
      <c r="C30" s="4" t="s">
        <v>195</v>
      </c>
      <c r="D30" s="4" t="s">
        <v>19</v>
      </c>
      <c r="E30" s="4" t="s">
        <v>196</v>
      </c>
      <c r="F30" s="5" t="s">
        <v>21</v>
      </c>
      <c r="G30" s="5" t="s">
        <v>197</v>
      </c>
      <c r="H30" s="5" t="s">
        <v>198</v>
      </c>
      <c r="I30" s="5" t="s">
        <v>33</v>
      </c>
      <c r="J30" s="4" t="s">
        <v>24</v>
      </c>
      <c r="K30" s="4" t="s">
        <v>624</v>
      </c>
      <c r="L30" s="4" t="s">
        <v>625</v>
      </c>
      <c r="M30" s="7" t="s">
        <v>25</v>
      </c>
      <c r="N30" s="4" t="s">
        <v>103</v>
      </c>
      <c r="O30" s="16" t="s">
        <v>793</v>
      </c>
      <c r="P30" s="16" t="s">
        <v>794</v>
      </c>
      <c r="Q30" s="16" t="s">
        <v>795</v>
      </c>
      <c r="R30" s="16" t="s">
        <v>796</v>
      </c>
    </row>
    <row r="31" spans="1:18" ht="115.2" x14ac:dyDescent="0.3">
      <c r="A31" s="3" t="s">
        <v>199</v>
      </c>
      <c r="B31" s="4" t="s">
        <v>200</v>
      </c>
      <c r="C31" s="4" t="s">
        <v>201</v>
      </c>
      <c r="D31" s="4" t="s">
        <v>19</v>
      </c>
      <c r="E31" s="4" t="s">
        <v>202</v>
      </c>
      <c r="F31" s="5" t="s">
        <v>94</v>
      </c>
      <c r="G31" s="5" t="s">
        <v>203</v>
      </c>
      <c r="H31" s="5" t="s">
        <v>204</v>
      </c>
      <c r="I31" s="5" t="s">
        <v>205</v>
      </c>
      <c r="J31" s="4" t="s">
        <v>24</v>
      </c>
      <c r="K31" s="4" t="s">
        <v>626</v>
      </c>
      <c r="L31" s="4" t="s">
        <v>627</v>
      </c>
      <c r="M31" s="7" t="s">
        <v>25</v>
      </c>
      <c r="N31" s="4" t="s">
        <v>103</v>
      </c>
      <c r="O31" s="16" t="s">
        <v>797</v>
      </c>
      <c r="P31" s="16" t="s">
        <v>798</v>
      </c>
      <c r="Q31" s="16" t="s">
        <v>799</v>
      </c>
      <c r="R31" s="16" t="s">
        <v>784</v>
      </c>
    </row>
    <row r="32" spans="1:18" ht="230.4" x14ac:dyDescent="0.3">
      <c r="A32" s="3" t="s">
        <v>206</v>
      </c>
      <c r="B32" s="4" t="s">
        <v>207</v>
      </c>
      <c r="C32" s="4" t="s">
        <v>208</v>
      </c>
      <c r="D32" s="4" t="s">
        <v>19</v>
      </c>
      <c r="E32" s="4" t="s">
        <v>209</v>
      </c>
      <c r="F32" s="5" t="s">
        <v>94</v>
      </c>
      <c r="G32" s="5" t="s">
        <v>210</v>
      </c>
      <c r="H32" s="4" t="s">
        <v>211</v>
      </c>
      <c r="I32" s="5" t="s">
        <v>33</v>
      </c>
      <c r="J32" s="4" t="s">
        <v>24</v>
      </c>
      <c r="K32" s="4" t="s">
        <v>628</v>
      </c>
      <c r="L32" s="4" t="s">
        <v>629</v>
      </c>
      <c r="M32" s="7" t="s">
        <v>25</v>
      </c>
      <c r="N32" s="4" t="s">
        <v>48</v>
      </c>
      <c r="O32" s="16" t="s">
        <v>800</v>
      </c>
      <c r="P32" s="16" t="s">
        <v>801</v>
      </c>
      <c r="Q32" s="16" t="s">
        <v>802</v>
      </c>
      <c r="R32" s="16" t="s">
        <v>803</v>
      </c>
    </row>
    <row r="33" spans="1:18" ht="115.2" x14ac:dyDescent="0.3">
      <c r="A33" s="3" t="s">
        <v>212</v>
      </c>
      <c r="B33" s="4" t="s">
        <v>213</v>
      </c>
      <c r="C33" s="4" t="s">
        <v>214</v>
      </c>
      <c r="D33" s="4" t="s">
        <v>84</v>
      </c>
      <c r="E33" s="4" t="s">
        <v>215</v>
      </c>
      <c r="F33" s="5" t="s">
        <v>21</v>
      </c>
      <c r="G33" s="5" t="s">
        <v>216</v>
      </c>
      <c r="H33" s="5" t="s">
        <v>217</v>
      </c>
      <c r="I33" s="5" t="s">
        <v>33</v>
      </c>
      <c r="J33" s="4" t="s">
        <v>24</v>
      </c>
      <c r="K33" s="4" t="s">
        <v>630</v>
      </c>
      <c r="L33" s="4" t="s">
        <v>631</v>
      </c>
      <c r="M33" s="7" t="s">
        <v>25</v>
      </c>
      <c r="N33" s="4" t="s">
        <v>48</v>
      </c>
      <c r="O33" s="16" t="s">
        <v>804</v>
      </c>
      <c r="P33" s="16" t="s">
        <v>805</v>
      </c>
      <c r="Q33" s="16" t="s">
        <v>806</v>
      </c>
      <c r="R33" s="16" t="s">
        <v>784</v>
      </c>
    </row>
    <row r="34" spans="1:18" ht="115.2" x14ac:dyDescent="0.3">
      <c r="A34" s="3" t="s">
        <v>218</v>
      </c>
      <c r="B34" s="4" t="s">
        <v>219</v>
      </c>
      <c r="C34" s="4" t="s">
        <v>220</v>
      </c>
      <c r="D34" s="4" t="s">
        <v>19</v>
      </c>
      <c r="E34" s="4" t="s">
        <v>221</v>
      </c>
      <c r="F34" s="5" t="s">
        <v>61</v>
      </c>
      <c r="G34" s="5" t="s">
        <v>222</v>
      </c>
      <c r="H34" s="5" t="s">
        <v>223</v>
      </c>
      <c r="I34" s="5" t="s">
        <v>33</v>
      </c>
      <c r="J34" s="4" t="s">
        <v>24</v>
      </c>
      <c r="K34" s="4" t="s">
        <v>632</v>
      </c>
      <c r="L34" s="4" t="s">
        <v>633</v>
      </c>
      <c r="M34" s="7" t="s">
        <v>25</v>
      </c>
      <c r="N34" s="4" t="s">
        <v>224</v>
      </c>
      <c r="O34" s="16" t="s">
        <v>807</v>
      </c>
      <c r="P34" s="16" t="s">
        <v>808</v>
      </c>
      <c r="Q34" s="16" t="s">
        <v>809</v>
      </c>
      <c r="R34" s="16" t="s">
        <v>810</v>
      </c>
    </row>
    <row r="35" spans="1:18" ht="409.6" x14ac:dyDescent="0.3">
      <c r="A35" s="3" t="s">
        <v>225</v>
      </c>
      <c r="B35" s="4" t="s">
        <v>226</v>
      </c>
      <c r="C35" s="4" t="s">
        <v>227</v>
      </c>
      <c r="D35" s="4" t="s">
        <v>19</v>
      </c>
      <c r="E35" s="4" t="s">
        <v>228</v>
      </c>
      <c r="F35" s="5" t="s">
        <v>94</v>
      </c>
      <c r="G35" s="5" t="s">
        <v>229</v>
      </c>
      <c r="H35" s="5" t="s">
        <v>230</v>
      </c>
      <c r="I35" s="5" t="s">
        <v>231</v>
      </c>
      <c r="J35" s="4" t="s">
        <v>24</v>
      </c>
      <c r="K35" s="4" t="s">
        <v>634</v>
      </c>
      <c r="L35" s="4" t="s">
        <v>635</v>
      </c>
      <c r="M35" s="7" t="s">
        <v>25</v>
      </c>
      <c r="N35" s="4" t="s">
        <v>944</v>
      </c>
      <c r="O35" s="16" t="s">
        <v>811</v>
      </c>
      <c r="P35" s="16" t="s">
        <v>812</v>
      </c>
      <c r="Q35" s="16" t="s">
        <v>990</v>
      </c>
      <c r="R35" s="16" t="s">
        <v>813</v>
      </c>
    </row>
    <row r="36" spans="1:18" ht="409.6" x14ac:dyDescent="0.3">
      <c r="A36" s="3" t="s">
        <v>232</v>
      </c>
      <c r="B36" s="4" t="s">
        <v>91</v>
      </c>
      <c r="C36" s="4" t="s">
        <v>233</v>
      </c>
      <c r="D36" s="4" t="s">
        <v>19</v>
      </c>
      <c r="E36" s="4" t="s">
        <v>234</v>
      </c>
      <c r="F36" s="5" t="s">
        <v>94</v>
      </c>
      <c r="G36" s="5" t="s">
        <v>229</v>
      </c>
      <c r="H36" s="4" t="s">
        <v>235</v>
      </c>
      <c r="I36" s="5" t="s">
        <v>33</v>
      </c>
      <c r="J36" s="4" t="s">
        <v>24</v>
      </c>
      <c r="K36" s="4" t="s">
        <v>636</v>
      </c>
      <c r="L36" s="4" t="s">
        <v>637</v>
      </c>
      <c r="M36" s="7" t="s">
        <v>25</v>
      </c>
      <c r="N36" s="4" t="s">
        <v>48</v>
      </c>
      <c r="O36" s="16" t="s">
        <v>814</v>
      </c>
      <c r="P36" s="16" t="s">
        <v>815</v>
      </c>
      <c r="Q36" s="16" t="s">
        <v>991</v>
      </c>
      <c r="R36" s="16" t="s">
        <v>816</v>
      </c>
    </row>
    <row r="37" spans="1:18" ht="409.6" x14ac:dyDescent="0.3">
      <c r="A37" s="3" t="s">
        <v>236</v>
      </c>
      <c r="B37" s="4" t="s">
        <v>237</v>
      </c>
      <c r="C37" s="4" t="s">
        <v>238</v>
      </c>
      <c r="D37" s="4" t="s">
        <v>19</v>
      </c>
      <c r="E37" s="4" t="s">
        <v>239</v>
      </c>
      <c r="F37" s="5" t="s">
        <v>21</v>
      </c>
      <c r="G37" s="5" t="s">
        <v>240</v>
      </c>
      <c r="H37" s="5" t="s">
        <v>241</v>
      </c>
      <c r="I37" s="5" t="s">
        <v>242</v>
      </c>
      <c r="J37" s="4" t="s">
        <v>24</v>
      </c>
      <c r="K37" s="4" t="s">
        <v>638</v>
      </c>
      <c r="L37" s="4" t="s">
        <v>639</v>
      </c>
      <c r="M37" s="7" t="s">
        <v>25</v>
      </c>
      <c r="N37" s="4" t="s">
        <v>243</v>
      </c>
      <c r="O37" s="16" t="s">
        <v>817</v>
      </c>
      <c r="P37" s="16" t="s">
        <v>818</v>
      </c>
      <c r="Q37" s="16" t="s">
        <v>992</v>
      </c>
      <c r="R37" s="16" t="s">
        <v>819</v>
      </c>
    </row>
    <row r="38" spans="1:18" ht="201.6" x14ac:dyDescent="0.3">
      <c r="A38" s="3" t="s">
        <v>244</v>
      </c>
      <c r="B38" s="4" t="s">
        <v>245</v>
      </c>
      <c r="C38" s="4" t="s">
        <v>246</v>
      </c>
      <c r="D38" s="4" t="s">
        <v>19</v>
      </c>
      <c r="E38" s="4" t="s">
        <v>247</v>
      </c>
      <c r="F38" s="5" t="s">
        <v>61</v>
      </c>
      <c r="G38" s="5" t="s">
        <v>248</v>
      </c>
      <c r="H38" s="5" t="s">
        <v>249</v>
      </c>
      <c r="I38" s="5" t="s">
        <v>250</v>
      </c>
      <c r="J38" s="4" t="s">
        <v>24</v>
      </c>
      <c r="K38" s="4" t="s">
        <v>640</v>
      </c>
      <c r="L38" s="4" t="s">
        <v>641</v>
      </c>
      <c r="M38" s="7" t="s">
        <v>25</v>
      </c>
      <c r="N38" s="4" t="s">
        <v>48</v>
      </c>
      <c r="O38" s="16" t="s">
        <v>820</v>
      </c>
      <c r="P38" s="16" t="s">
        <v>821</v>
      </c>
      <c r="Q38" s="16" t="s">
        <v>708</v>
      </c>
      <c r="R38" s="16" t="s">
        <v>822</v>
      </c>
    </row>
    <row r="39" spans="1:18" ht="216" x14ac:dyDescent="0.3">
      <c r="A39" s="3" t="s">
        <v>251</v>
      </c>
      <c r="B39" s="4" t="s">
        <v>252</v>
      </c>
      <c r="C39" s="4" t="s">
        <v>253</v>
      </c>
      <c r="D39" s="4" t="s">
        <v>19</v>
      </c>
      <c r="E39" s="4" t="s">
        <v>254</v>
      </c>
      <c r="F39" s="5" t="s">
        <v>61</v>
      </c>
      <c r="G39" s="5" t="s">
        <v>255</v>
      </c>
      <c r="H39" s="5" t="s">
        <v>256</v>
      </c>
      <c r="I39" s="5" t="s">
        <v>33</v>
      </c>
      <c r="J39" s="4" t="s">
        <v>24</v>
      </c>
      <c r="K39" s="4" t="s">
        <v>642</v>
      </c>
      <c r="L39" s="4" t="s">
        <v>643</v>
      </c>
      <c r="M39" s="7" t="s">
        <v>25</v>
      </c>
      <c r="N39" s="4" t="s">
        <v>257</v>
      </c>
      <c r="O39" s="16" t="s">
        <v>823</v>
      </c>
      <c r="P39" s="16" t="s">
        <v>824</v>
      </c>
      <c r="Q39" s="16" t="s">
        <v>825</v>
      </c>
      <c r="R39" s="16" t="s">
        <v>826</v>
      </c>
    </row>
    <row r="40" spans="1:18" ht="144" x14ac:dyDescent="0.3">
      <c r="A40" s="3" t="s">
        <v>258</v>
      </c>
      <c r="B40" s="4" t="s">
        <v>259</v>
      </c>
      <c r="C40" s="4" t="s">
        <v>260</v>
      </c>
      <c r="D40" s="4" t="s">
        <v>19</v>
      </c>
      <c r="E40" s="4" t="s">
        <v>261</v>
      </c>
      <c r="F40" s="5" t="s">
        <v>94</v>
      </c>
      <c r="G40" s="5" t="s">
        <v>262</v>
      </c>
      <c r="H40" s="4" t="s">
        <v>263</v>
      </c>
      <c r="I40" s="5" t="s">
        <v>33</v>
      </c>
      <c r="J40" s="4" t="s">
        <v>24</v>
      </c>
      <c r="K40" s="4" t="s">
        <v>644</v>
      </c>
      <c r="L40" s="4" t="s">
        <v>645</v>
      </c>
      <c r="M40" s="7" t="s">
        <v>25</v>
      </c>
      <c r="N40" s="4" t="s">
        <v>945</v>
      </c>
      <c r="O40" s="16" t="s">
        <v>827</v>
      </c>
      <c r="P40" s="16" t="s">
        <v>828</v>
      </c>
      <c r="Q40" s="16" t="s">
        <v>829</v>
      </c>
      <c r="R40" s="16" t="s">
        <v>830</v>
      </c>
    </row>
    <row r="41" spans="1:18" ht="201.6" x14ac:dyDescent="0.3">
      <c r="A41" s="3" t="s">
        <v>264</v>
      </c>
      <c r="B41" s="4" t="s">
        <v>265</v>
      </c>
      <c r="C41" s="4" t="s">
        <v>266</v>
      </c>
      <c r="D41" s="4" t="s">
        <v>19</v>
      </c>
      <c r="E41" s="4" t="s">
        <v>267</v>
      </c>
      <c r="F41" s="5" t="s">
        <v>61</v>
      </c>
      <c r="G41" s="5" t="s">
        <v>268</v>
      </c>
      <c r="H41" s="5" t="s">
        <v>269</v>
      </c>
      <c r="I41" s="5" t="s">
        <v>270</v>
      </c>
      <c r="J41" s="4" t="s">
        <v>24</v>
      </c>
      <c r="K41" s="4" t="s">
        <v>646</v>
      </c>
      <c r="L41" s="4" t="s">
        <v>647</v>
      </c>
      <c r="M41" s="7" t="s">
        <v>25</v>
      </c>
      <c r="N41" s="4" t="s">
        <v>26</v>
      </c>
      <c r="O41" s="16" t="s">
        <v>831</v>
      </c>
      <c r="P41" s="16" t="s">
        <v>832</v>
      </c>
      <c r="Q41" s="16" t="s">
        <v>708</v>
      </c>
      <c r="R41" s="16" t="s">
        <v>833</v>
      </c>
    </row>
    <row r="42" spans="1:18" ht="201.6" x14ac:dyDescent="0.3">
      <c r="A42" s="3" t="s">
        <v>271</v>
      </c>
      <c r="B42" s="4" t="s">
        <v>265</v>
      </c>
      <c r="C42" s="4" t="s">
        <v>272</v>
      </c>
      <c r="D42" s="4" t="s">
        <v>19</v>
      </c>
      <c r="E42" s="4" t="s">
        <v>273</v>
      </c>
      <c r="F42" s="5" t="s">
        <v>61</v>
      </c>
      <c r="G42" s="5" t="s">
        <v>268</v>
      </c>
      <c r="H42" s="5" t="s">
        <v>274</v>
      </c>
      <c r="I42" s="5" t="s">
        <v>275</v>
      </c>
      <c r="J42" s="4" t="s">
        <v>24</v>
      </c>
      <c r="K42" s="4" t="s">
        <v>648</v>
      </c>
      <c r="L42" s="4" t="s">
        <v>649</v>
      </c>
      <c r="M42" s="7" t="s">
        <v>25</v>
      </c>
      <c r="N42" s="4" t="s">
        <v>26</v>
      </c>
      <c r="O42" s="16" t="s">
        <v>834</v>
      </c>
      <c r="P42" s="16" t="s">
        <v>835</v>
      </c>
      <c r="Q42" s="16" t="s">
        <v>708</v>
      </c>
      <c r="R42" s="16" t="s">
        <v>836</v>
      </c>
    </row>
    <row r="43" spans="1:18" ht="86.4" x14ac:dyDescent="0.3">
      <c r="A43" s="3" t="s">
        <v>276</v>
      </c>
      <c r="B43" s="4" t="s">
        <v>277</v>
      </c>
      <c r="C43" s="4" t="s">
        <v>278</v>
      </c>
      <c r="D43" s="4" t="s">
        <v>19</v>
      </c>
      <c r="E43" s="4" t="s">
        <v>279</v>
      </c>
      <c r="F43" s="5" t="s">
        <v>94</v>
      </c>
      <c r="G43" s="5" t="s">
        <v>280</v>
      </c>
      <c r="H43" s="4" t="s">
        <v>281</v>
      </c>
      <c r="I43" s="5" t="s">
        <v>33</v>
      </c>
      <c r="J43" s="4" t="s">
        <v>24</v>
      </c>
      <c r="K43" s="4" t="s">
        <v>650</v>
      </c>
      <c r="L43" s="4" t="s">
        <v>651</v>
      </c>
      <c r="M43" s="7" t="s">
        <v>25</v>
      </c>
      <c r="N43" s="4" t="s">
        <v>48</v>
      </c>
      <c r="O43" s="16" t="s">
        <v>837</v>
      </c>
      <c r="P43" s="16" t="s">
        <v>838</v>
      </c>
      <c r="Q43" s="16" t="s">
        <v>783</v>
      </c>
      <c r="R43" s="16" t="s">
        <v>784</v>
      </c>
    </row>
    <row r="44" spans="1:18" ht="115.2" x14ac:dyDescent="0.3">
      <c r="A44" s="3" t="s">
        <v>282</v>
      </c>
      <c r="B44" s="4" t="s">
        <v>283</v>
      </c>
      <c r="C44" s="4" t="s">
        <v>284</v>
      </c>
      <c r="D44" s="4" t="s">
        <v>84</v>
      </c>
      <c r="E44" s="4" t="s">
        <v>285</v>
      </c>
      <c r="F44" s="5" t="s">
        <v>21</v>
      </c>
      <c r="G44" s="5" t="s">
        <v>286</v>
      </c>
      <c r="H44" s="5" t="s">
        <v>287</v>
      </c>
      <c r="I44" s="5" t="s">
        <v>33</v>
      </c>
      <c r="J44" s="4" t="s">
        <v>24</v>
      </c>
      <c r="K44" s="4" t="s">
        <v>652</v>
      </c>
      <c r="L44" s="4" t="s">
        <v>653</v>
      </c>
      <c r="M44" s="7" t="s">
        <v>25</v>
      </c>
      <c r="N44" s="4" t="s">
        <v>48</v>
      </c>
      <c r="O44" s="16" t="s">
        <v>837</v>
      </c>
      <c r="P44" s="16" t="s">
        <v>839</v>
      </c>
      <c r="Q44" s="16" t="s">
        <v>840</v>
      </c>
      <c r="R44" s="16" t="s">
        <v>784</v>
      </c>
    </row>
    <row r="45" spans="1:18" ht="201.6" x14ac:dyDescent="0.3">
      <c r="A45" s="3" t="s">
        <v>288</v>
      </c>
      <c r="B45" s="4" t="s">
        <v>245</v>
      </c>
      <c r="C45" s="4" t="s">
        <v>289</v>
      </c>
      <c r="D45" s="4" t="s">
        <v>19</v>
      </c>
      <c r="E45" s="4" t="s">
        <v>290</v>
      </c>
      <c r="F45" s="5" t="s">
        <v>61</v>
      </c>
      <c r="G45" s="5" t="s">
        <v>291</v>
      </c>
      <c r="H45" s="5" t="s">
        <v>292</v>
      </c>
      <c r="I45" s="5" t="s">
        <v>33</v>
      </c>
      <c r="J45" s="4" t="s">
        <v>24</v>
      </c>
      <c r="K45" s="4" t="s">
        <v>654</v>
      </c>
      <c r="L45" s="4" t="s">
        <v>655</v>
      </c>
      <c r="M45" s="7" t="s">
        <v>25</v>
      </c>
      <c r="N45" s="4" t="s">
        <v>103</v>
      </c>
      <c r="O45" s="16" t="s">
        <v>841</v>
      </c>
      <c r="P45" s="16" t="s">
        <v>842</v>
      </c>
      <c r="Q45" s="16" t="s">
        <v>708</v>
      </c>
      <c r="R45" s="16" t="s">
        <v>843</v>
      </c>
    </row>
    <row r="46" spans="1:18" ht="216" x14ac:dyDescent="0.3">
      <c r="A46" s="3" t="s">
        <v>293</v>
      </c>
      <c r="B46" s="4" t="s">
        <v>294</v>
      </c>
      <c r="C46" s="4" t="s">
        <v>295</v>
      </c>
      <c r="D46" s="4" t="s">
        <v>19</v>
      </c>
      <c r="E46" s="4" t="s">
        <v>296</v>
      </c>
      <c r="F46" s="5" t="s">
        <v>297</v>
      </c>
      <c r="G46" s="5" t="s">
        <v>298</v>
      </c>
      <c r="H46" s="5" t="s">
        <v>299</v>
      </c>
      <c r="I46" s="5" t="s">
        <v>33</v>
      </c>
      <c r="J46" s="4" t="s">
        <v>24</v>
      </c>
      <c r="K46" s="4" t="s">
        <v>656</v>
      </c>
      <c r="L46" s="4" t="s">
        <v>657</v>
      </c>
      <c r="M46" s="7" t="s">
        <v>25</v>
      </c>
      <c r="N46" s="4" t="s">
        <v>300</v>
      </c>
      <c r="O46" s="16" t="s">
        <v>844</v>
      </c>
      <c r="P46" s="16" t="s">
        <v>845</v>
      </c>
      <c r="Q46" s="16" t="s">
        <v>846</v>
      </c>
      <c r="R46" s="16" t="s">
        <v>847</v>
      </c>
    </row>
    <row r="47" spans="1:18" ht="201.6" x14ac:dyDescent="0.3">
      <c r="A47" s="3" t="s">
        <v>301</v>
      </c>
      <c r="B47" s="4" t="s">
        <v>294</v>
      </c>
      <c r="C47" s="4" t="s">
        <v>302</v>
      </c>
      <c r="D47" s="4" t="s">
        <v>19</v>
      </c>
      <c r="E47" s="4" t="s">
        <v>303</v>
      </c>
      <c r="F47" s="5" t="s">
        <v>297</v>
      </c>
      <c r="G47" s="5" t="s">
        <v>298</v>
      </c>
      <c r="H47" s="5" t="s">
        <v>304</v>
      </c>
      <c r="I47" s="5" t="s">
        <v>33</v>
      </c>
      <c r="J47" s="4" t="s">
        <v>24</v>
      </c>
      <c r="K47" s="4" t="s">
        <v>658</v>
      </c>
      <c r="L47" s="4" t="s">
        <v>659</v>
      </c>
      <c r="M47" s="7" t="s">
        <v>25</v>
      </c>
      <c r="N47" s="4" t="s">
        <v>48</v>
      </c>
      <c r="O47" s="16" t="s">
        <v>844</v>
      </c>
      <c r="P47" s="16" t="s">
        <v>848</v>
      </c>
      <c r="Q47" s="16" t="s">
        <v>708</v>
      </c>
      <c r="R47" s="16" t="s">
        <v>849</v>
      </c>
    </row>
    <row r="48" spans="1:18" ht="86.4" x14ac:dyDescent="0.3">
      <c r="A48" s="3" t="s">
        <v>305</v>
      </c>
      <c r="B48" s="4" t="s">
        <v>294</v>
      </c>
      <c r="C48" s="4" t="s">
        <v>306</v>
      </c>
      <c r="D48" s="4" t="s">
        <v>19</v>
      </c>
      <c r="E48" s="4" t="s">
        <v>307</v>
      </c>
      <c r="F48" s="5" t="s">
        <v>61</v>
      </c>
      <c r="G48" s="5" t="s">
        <v>308</v>
      </c>
      <c r="H48" s="5" t="s">
        <v>309</v>
      </c>
      <c r="I48" s="5" t="s">
        <v>33</v>
      </c>
      <c r="J48" s="4" t="s">
        <v>24</v>
      </c>
      <c r="K48" s="4" t="s">
        <v>660</v>
      </c>
      <c r="L48" s="4" t="s">
        <v>661</v>
      </c>
      <c r="M48" s="7" t="s">
        <v>25</v>
      </c>
      <c r="N48" s="4" t="s">
        <v>310</v>
      </c>
      <c r="O48" s="16" t="s">
        <v>850</v>
      </c>
      <c r="P48" s="16" t="s">
        <v>851</v>
      </c>
      <c r="Q48" s="16" t="s">
        <v>783</v>
      </c>
      <c r="R48" s="16" t="s">
        <v>784</v>
      </c>
    </row>
    <row r="49" spans="1:18" ht="115.2" x14ac:dyDescent="0.3">
      <c r="A49" s="3" t="s">
        <v>311</v>
      </c>
      <c r="B49" s="4" t="s">
        <v>294</v>
      </c>
      <c r="C49" s="4" t="s">
        <v>312</v>
      </c>
      <c r="D49" s="4" t="s">
        <v>84</v>
      </c>
      <c r="E49" s="4" t="s">
        <v>313</v>
      </c>
      <c r="F49" s="5" t="s">
        <v>61</v>
      </c>
      <c r="G49" s="5" t="s">
        <v>314</v>
      </c>
      <c r="H49" s="5" t="s">
        <v>315</v>
      </c>
      <c r="I49" s="5" t="s">
        <v>33</v>
      </c>
      <c r="J49" s="4" t="s">
        <v>24</v>
      </c>
      <c r="K49" s="4" t="s">
        <v>662</v>
      </c>
      <c r="L49" s="4" t="s">
        <v>663</v>
      </c>
      <c r="M49" s="8" t="s">
        <v>316</v>
      </c>
      <c r="N49" s="4" t="s">
        <v>317</v>
      </c>
      <c r="O49" s="16" t="s">
        <v>852</v>
      </c>
      <c r="P49" s="16" t="s">
        <v>853</v>
      </c>
      <c r="Q49" s="16" t="s">
        <v>854</v>
      </c>
      <c r="R49" s="16" t="s">
        <v>855</v>
      </c>
    </row>
    <row r="50" spans="1:18" ht="201.6" x14ac:dyDescent="0.3">
      <c r="A50" s="3" t="s">
        <v>318</v>
      </c>
      <c r="B50" s="4" t="s">
        <v>294</v>
      </c>
      <c r="C50" s="4" t="s">
        <v>319</v>
      </c>
      <c r="D50" s="4" t="s">
        <v>84</v>
      </c>
      <c r="E50" s="4" t="s">
        <v>320</v>
      </c>
      <c r="F50" s="5" t="s">
        <v>163</v>
      </c>
      <c r="G50" s="5" t="s">
        <v>321</v>
      </c>
      <c r="H50" s="5" t="s">
        <v>322</v>
      </c>
      <c r="I50" s="5" t="s">
        <v>33</v>
      </c>
      <c r="J50" s="4" t="s">
        <v>24</v>
      </c>
      <c r="K50" s="4" t="s">
        <v>664</v>
      </c>
      <c r="L50" s="4" t="s">
        <v>659</v>
      </c>
      <c r="M50" s="7" t="s">
        <v>25</v>
      </c>
      <c r="N50" s="4" t="s">
        <v>48</v>
      </c>
      <c r="O50" s="16" t="s">
        <v>844</v>
      </c>
      <c r="P50" s="16" t="s">
        <v>856</v>
      </c>
      <c r="Q50" s="16" t="s">
        <v>708</v>
      </c>
      <c r="R50" s="16" t="s">
        <v>857</v>
      </c>
    </row>
    <row r="51" spans="1:18" ht="115.2" x14ac:dyDescent="0.3">
      <c r="A51" s="3" t="s">
        <v>323</v>
      </c>
      <c r="B51" s="4" t="s">
        <v>324</v>
      </c>
      <c r="C51" s="4" t="s">
        <v>325</v>
      </c>
      <c r="D51" s="4" t="s">
        <v>19</v>
      </c>
      <c r="E51" s="4" t="s">
        <v>326</v>
      </c>
      <c r="F51" s="5" t="s">
        <v>21</v>
      </c>
      <c r="G51" s="5" t="s">
        <v>327</v>
      </c>
      <c r="H51" s="5" t="s">
        <v>328</v>
      </c>
      <c r="I51" s="5" t="s">
        <v>33</v>
      </c>
      <c r="J51" s="4" t="s">
        <v>24</v>
      </c>
      <c r="K51" s="4" t="s">
        <v>665</v>
      </c>
      <c r="L51" s="4" t="s">
        <v>666</v>
      </c>
      <c r="M51" s="7" t="s">
        <v>25</v>
      </c>
      <c r="N51" s="4" t="s">
        <v>329</v>
      </c>
      <c r="O51" s="16" t="s">
        <v>850</v>
      </c>
      <c r="P51" s="16" t="s">
        <v>858</v>
      </c>
      <c r="Q51" s="16" t="s">
        <v>859</v>
      </c>
      <c r="R51" s="16" t="s">
        <v>768</v>
      </c>
    </row>
    <row r="52" spans="1:18" ht="216" x14ac:dyDescent="0.3">
      <c r="A52" s="3" t="s">
        <v>330</v>
      </c>
      <c r="B52" s="4" t="s">
        <v>331</v>
      </c>
      <c r="C52" s="4" t="s">
        <v>332</v>
      </c>
      <c r="D52" s="4" t="s">
        <v>84</v>
      </c>
      <c r="E52" s="4" t="s">
        <v>333</v>
      </c>
      <c r="F52" s="5" t="s">
        <v>61</v>
      </c>
      <c r="G52" s="5" t="s">
        <v>334</v>
      </c>
      <c r="H52" s="5" t="s">
        <v>335</v>
      </c>
      <c r="I52" s="5" t="s">
        <v>33</v>
      </c>
      <c r="J52" s="4" t="s">
        <v>24</v>
      </c>
      <c r="K52" s="4" t="s">
        <v>667</v>
      </c>
      <c r="L52" s="4" t="s">
        <v>668</v>
      </c>
      <c r="M52" s="8" t="s">
        <v>336</v>
      </c>
      <c r="N52" s="4" t="s">
        <v>337</v>
      </c>
      <c r="O52" s="16" t="s">
        <v>860</v>
      </c>
      <c r="P52" s="16" t="s">
        <v>861</v>
      </c>
      <c r="Q52" s="16" t="s">
        <v>862</v>
      </c>
      <c r="R52" s="16" t="s">
        <v>863</v>
      </c>
    </row>
    <row r="53" spans="1:18" ht="86.4" x14ac:dyDescent="0.3">
      <c r="A53" s="3" t="s">
        <v>338</v>
      </c>
      <c r="B53" s="4" t="s">
        <v>339</v>
      </c>
      <c r="C53" s="4" t="s">
        <v>340</v>
      </c>
      <c r="D53" s="4" t="s">
        <v>19</v>
      </c>
      <c r="E53" s="4" t="s">
        <v>341</v>
      </c>
      <c r="F53" s="5" t="s">
        <v>21</v>
      </c>
      <c r="G53" s="5" t="s">
        <v>342</v>
      </c>
      <c r="H53" s="5" t="s">
        <v>343</v>
      </c>
      <c r="I53" s="5" t="s">
        <v>33</v>
      </c>
      <c r="J53" s="4" t="s">
        <v>24</v>
      </c>
      <c r="K53" s="4" t="s">
        <v>669</v>
      </c>
      <c r="L53" s="4" t="s">
        <v>670</v>
      </c>
      <c r="M53" s="7" t="s">
        <v>25</v>
      </c>
      <c r="N53" s="4" t="s">
        <v>48</v>
      </c>
      <c r="O53" s="16" t="s">
        <v>864</v>
      </c>
      <c r="P53" s="16" t="s">
        <v>865</v>
      </c>
      <c r="Q53" s="16" t="s">
        <v>864</v>
      </c>
      <c r="R53" s="16" t="s">
        <v>866</v>
      </c>
    </row>
    <row r="54" spans="1:18" ht="86.4" x14ac:dyDescent="0.3">
      <c r="A54" s="3" t="s">
        <v>344</v>
      </c>
      <c r="B54" s="4" t="s">
        <v>345</v>
      </c>
      <c r="C54" s="4" t="s">
        <v>346</v>
      </c>
      <c r="D54" s="4" t="s">
        <v>84</v>
      </c>
      <c r="E54" s="4" t="s">
        <v>347</v>
      </c>
      <c r="F54" s="5" t="s">
        <v>70</v>
      </c>
      <c r="G54" s="5" t="s">
        <v>348</v>
      </c>
      <c r="H54" s="4" t="s">
        <v>349</v>
      </c>
      <c r="I54" s="5" t="s">
        <v>33</v>
      </c>
      <c r="J54" s="4" t="s">
        <v>24</v>
      </c>
      <c r="K54" s="4" t="s">
        <v>671</v>
      </c>
      <c r="L54" s="4" t="s">
        <v>672</v>
      </c>
      <c r="M54" s="7" t="s">
        <v>25</v>
      </c>
      <c r="N54" s="4" t="s">
        <v>48</v>
      </c>
      <c r="O54" s="16" t="s">
        <v>867</v>
      </c>
      <c r="P54" s="16" t="s">
        <v>868</v>
      </c>
      <c r="Q54" s="16" t="s">
        <v>783</v>
      </c>
      <c r="R54" s="16" t="s">
        <v>784</v>
      </c>
    </row>
    <row r="55" spans="1:18" ht="129.6" x14ac:dyDescent="0.3">
      <c r="A55" s="3" t="s">
        <v>350</v>
      </c>
      <c r="B55" s="4" t="s">
        <v>351</v>
      </c>
      <c r="C55" s="4" t="s">
        <v>352</v>
      </c>
      <c r="D55" s="4" t="s">
        <v>19</v>
      </c>
      <c r="E55" s="4" t="s">
        <v>353</v>
      </c>
      <c r="F55" s="5" t="s">
        <v>354</v>
      </c>
      <c r="G55" s="5" t="s">
        <v>355</v>
      </c>
      <c r="H55" s="5" t="s">
        <v>356</v>
      </c>
      <c r="I55" s="5" t="s">
        <v>33</v>
      </c>
      <c r="J55" s="4" t="s">
        <v>357</v>
      </c>
      <c r="K55" s="4" t="s">
        <v>673</v>
      </c>
      <c r="L55" s="4" t="s">
        <v>674</v>
      </c>
      <c r="M55" s="5" t="s">
        <v>358</v>
      </c>
      <c r="N55" s="4" t="s">
        <v>359</v>
      </c>
      <c r="O55" s="16" t="s">
        <v>869</v>
      </c>
      <c r="P55" s="16" t="s">
        <v>870</v>
      </c>
      <c r="Q55" s="16" t="s">
        <v>871</v>
      </c>
      <c r="R55" s="16" t="s">
        <v>872</v>
      </c>
    </row>
    <row r="56" spans="1:18" ht="201.6" x14ac:dyDescent="0.3">
      <c r="A56" s="3" t="s">
        <v>360</v>
      </c>
      <c r="B56" s="4" t="s">
        <v>361</v>
      </c>
      <c r="C56" s="4" t="s">
        <v>362</v>
      </c>
      <c r="D56" s="4" t="s">
        <v>19</v>
      </c>
      <c r="E56" s="4" t="s">
        <v>363</v>
      </c>
      <c r="F56" s="5" t="s">
        <v>364</v>
      </c>
      <c r="G56" s="5" t="s">
        <v>365</v>
      </c>
      <c r="H56" s="5" t="s">
        <v>366</v>
      </c>
      <c r="I56" s="5" t="s">
        <v>33</v>
      </c>
      <c r="J56" s="4" t="s">
        <v>24</v>
      </c>
      <c r="K56" s="4" t="s">
        <v>675</v>
      </c>
      <c r="L56" s="4" t="s">
        <v>676</v>
      </c>
      <c r="M56" s="7" t="s">
        <v>25</v>
      </c>
      <c r="N56" s="4" t="s">
        <v>367</v>
      </c>
      <c r="O56" s="16" t="s">
        <v>873</v>
      </c>
      <c r="P56" s="16" t="s">
        <v>874</v>
      </c>
      <c r="Q56" s="16" t="s">
        <v>875</v>
      </c>
      <c r="R56" s="16" t="s">
        <v>876</v>
      </c>
    </row>
    <row r="57" spans="1:18" ht="100.8" x14ac:dyDescent="0.3">
      <c r="A57" s="3" t="s">
        <v>368</v>
      </c>
      <c r="B57" s="4" t="s">
        <v>369</v>
      </c>
      <c r="C57" s="4" t="s">
        <v>370</v>
      </c>
      <c r="D57" s="4" t="s">
        <v>19</v>
      </c>
      <c r="E57" s="4" t="s">
        <v>371</v>
      </c>
      <c r="F57" s="5" t="s">
        <v>354</v>
      </c>
      <c r="G57" s="5" t="s">
        <v>372</v>
      </c>
      <c r="H57" s="5" t="s">
        <v>373</v>
      </c>
      <c r="I57" s="5" t="s">
        <v>33</v>
      </c>
      <c r="J57" s="4" t="s">
        <v>24</v>
      </c>
      <c r="K57" s="4" t="s">
        <v>952</v>
      </c>
      <c r="L57" s="4" t="s">
        <v>953</v>
      </c>
      <c r="M57" s="7" t="s">
        <v>25</v>
      </c>
      <c r="N57" s="4" t="s">
        <v>48</v>
      </c>
      <c r="O57" s="16" t="s">
        <v>963</v>
      </c>
      <c r="P57" s="16" t="s">
        <v>877</v>
      </c>
      <c r="Q57" s="16" t="s">
        <v>964</v>
      </c>
      <c r="R57" s="16" t="s">
        <v>965</v>
      </c>
    </row>
    <row r="58" spans="1:18" ht="129.6" x14ac:dyDescent="0.3">
      <c r="A58" s="3" t="s">
        <v>374</v>
      </c>
      <c r="B58" s="4" t="s">
        <v>375</v>
      </c>
      <c r="C58" s="4" t="s">
        <v>376</v>
      </c>
      <c r="D58" s="4" t="s">
        <v>19</v>
      </c>
      <c r="E58" s="4" t="s">
        <v>377</v>
      </c>
      <c r="F58" s="5" t="s">
        <v>94</v>
      </c>
      <c r="G58" s="5" t="s">
        <v>378</v>
      </c>
      <c r="H58" s="4" t="s">
        <v>379</v>
      </c>
      <c r="I58" s="5" t="s">
        <v>564</v>
      </c>
      <c r="J58" s="4" t="s">
        <v>24</v>
      </c>
      <c r="K58" s="4" t="s">
        <v>677</v>
      </c>
      <c r="L58" s="4" t="s">
        <v>678</v>
      </c>
      <c r="M58" s="5" t="s">
        <v>25</v>
      </c>
      <c r="N58" s="4" t="s">
        <v>946</v>
      </c>
      <c r="O58" s="16" t="s">
        <v>878</v>
      </c>
      <c r="P58" s="16" t="s">
        <v>879</v>
      </c>
      <c r="Q58" s="16" t="s">
        <v>783</v>
      </c>
      <c r="R58" s="16" t="s">
        <v>880</v>
      </c>
    </row>
    <row r="59" spans="1:18" ht="57.6" x14ac:dyDescent="0.3">
      <c r="A59" s="3" t="s">
        <v>380</v>
      </c>
      <c r="B59" s="4" t="s">
        <v>381</v>
      </c>
      <c r="C59" s="4" t="s">
        <v>382</v>
      </c>
      <c r="D59" s="4" t="s">
        <v>84</v>
      </c>
      <c r="E59" s="4" t="s">
        <v>383</v>
      </c>
      <c r="F59" s="5" t="s">
        <v>354</v>
      </c>
      <c r="G59" s="5" t="s">
        <v>384</v>
      </c>
      <c r="H59" s="5" t="s">
        <v>385</v>
      </c>
      <c r="I59" s="5" t="s">
        <v>33</v>
      </c>
      <c r="J59" s="4" t="s">
        <v>386</v>
      </c>
      <c r="K59" s="4" t="s">
        <v>679</v>
      </c>
      <c r="L59" s="4" t="s">
        <v>670</v>
      </c>
      <c r="M59" s="5" t="s">
        <v>387</v>
      </c>
      <c r="N59" s="4" t="s">
        <v>388</v>
      </c>
      <c r="O59" s="16" t="s">
        <v>864</v>
      </c>
      <c r="P59" s="16" t="s">
        <v>881</v>
      </c>
      <c r="Q59" s="16" t="s">
        <v>864</v>
      </c>
      <c r="R59" s="16" t="s">
        <v>882</v>
      </c>
    </row>
    <row r="60" spans="1:18" ht="129.6" x14ac:dyDescent="0.3">
      <c r="A60" s="3" t="s">
        <v>389</v>
      </c>
      <c r="B60" s="4" t="s">
        <v>390</v>
      </c>
      <c r="C60" s="4" t="s">
        <v>391</v>
      </c>
      <c r="D60" s="4" t="s">
        <v>176</v>
      </c>
      <c r="E60" s="4" t="s">
        <v>392</v>
      </c>
      <c r="F60" s="5" t="s">
        <v>364</v>
      </c>
      <c r="G60" s="5" t="s">
        <v>565</v>
      </c>
      <c r="H60" s="5" t="s">
        <v>393</v>
      </c>
      <c r="I60" s="5" t="s">
        <v>566</v>
      </c>
      <c r="J60" s="4" t="s">
        <v>394</v>
      </c>
      <c r="K60" s="4" t="s">
        <v>680</v>
      </c>
      <c r="L60" s="4" t="s">
        <v>681</v>
      </c>
      <c r="M60" s="7" t="s">
        <v>25</v>
      </c>
      <c r="N60" s="4" t="s">
        <v>567</v>
      </c>
      <c r="O60" s="16" t="s">
        <v>883</v>
      </c>
      <c r="P60" s="16" t="s">
        <v>884</v>
      </c>
      <c r="Q60" s="16" t="s">
        <v>885</v>
      </c>
      <c r="R60" s="16" t="s">
        <v>886</v>
      </c>
    </row>
    <row r="61" spans="1:18" ht="129.6" x14ac:dyDescent="0.3">
      <c r="A61" s="3" t="s">
        <v>395</v>
      </c>
      <c r="B61" s="4" t="s">
        <v>396</v>
      </c>
      <c r="C61" s="4" t="s">
        <v>397</v>
      </c>
      <c r="D61" s="4" t="s">
        <v>19</v>
      </c>
      <c r="E61" s="4" t="s">
        <v>398</v>
      </c>
      <c r="F61" s="5" t="s">
        <v>163</v>
      </c>
      <c r="G61" s="5" t="s">
        <v>399</v>
      </c>
      <c r="H61" s="5" t="s">
        <v>400</v>
      </c>
      <c r="I61" s="5" t="s">
        <v>33</v>
      </c>
      <c r="J61" s="4" t="s">
        <v>24</v>
      </c>
      <c r="K61" s="4" t="s">
        <v>954</v>
      </c>
      <c r="L61" s="4" t="s">
        <v>955</v>
      </c>
      <c r="M61" s="7" t="s">
        <v>401</v>
      </c>
      <c r="N61" s="4" t="s">
        <v>402</v>
      </c>
      <c r="O61" s="16" t="s">
        <v>966</v>
      </c>
      <c r="P61" s="16" t="s">
        <v>887</v>
      </c>
      <c r="Q61" s="16" t="s">
        <v>967</v>
      </c>
      <c r="R61" s="16" t="s">
        <v>968</v>
      </c>
    </row>
    <row r="62" spans="1:18" ht="57.6" x14ac:dyDescent="0.3">
      <c r="A62" s="3" t="s">
        <v>403</v>
      </c>
      <c r="B62" s="4" t="s">
        <v>404</v>
      </c>
      <c r="C62" s="4" t="s">
        <v>405</v>
      </c>
      <c r="D62" s="4" t="s">
        <v>19</v>
      </c>
      <c r="E62" s="4" t="s">
        <v>406</v>
      </c>
      <c r="F62" s="5" t="s">
        <v>163</v>
      </c>
      <c r="G62" s="5" t="s">
        <v>407</v>
      </c>
      <c r="H62" s="5" t="s">
        <v>408</v>
      </c>
      <c r="I62" s="5" t="s">
        <v>33</v>
      </c>
      <c r="J62" s="4" t="s">
        <v>24</v>
      </c>
      <c r="K62" s="6" t="s">
        <v>682</v>
      </c>
      <c r="L62" s="6" t="s">
        <v>670</v>
      </c>
      <c r="M62" s="5" t="s">
        <v>409</v>
      </c>
      <c r="N62" s="4" t="s">
        <v>410</v>
      </c>
      <c r="O62" s="16" t="s">
        <v>864</v>
      </c>
      <c r="P62" s="16" t="s">
        <v>888</v>
      </c>
      <c r="Q62" s="16" t="s">
        <v>864</v>
      </c>
      <c r="R62" s="16" t="s">
        <v>889</v>
      </c>
    </row>
    <row r="63" spans="1:18" ht="43.2" x14ac:dyDescent="0.3">
      <c r="A63" s="3" t="s">
        <v>411</v>
      </c>
      <c r="B63" s="4" t="s">
        <v>412</v>
      </c>
      <c r="C63" s="4" t="s">
        <v>413</v>
      </c>
      <c r="D63" s="4" t="s">
        <v>84</v>
      </c>
      <c r="E63" s="4" t="s">
        <v>414</v>
      </c>
      <c r="F63" s="5" t="s">
        <v>364</v>
      </c>
      <c r="G63" s="5" t="s">
        <v>415</v>
      </c>
      <c r="H63" s="5" t="s">
        <v>416</v>
      </c>
      <c r="I63" s="5" t="s">
        <v>33</v>
      </c>
      <c r="J63" s="4" t="s">
        <v>24</v>
      </c>
      <c r="K63" s="6" t="s">
        <v>682</v>
      </c>
      <c r="L63" s="6" t="s">
        <v>670</v>
      </c>
      <c r="M63" s="7" t="s">
        <v>25</v>
      </c>
      <c r="N63" s="4" t="s">
        <v>48</v>
      </c>
      <c r="O63" s="16" t="s">
        <v>864</v>
      </c>
      <c r="P63" s="16" t="s">
        <v>890</v>
      </c>
      <c r="Q63" s="16" t="s">
        <v>864</v>
      </c>
      <c r="R63" s="16" t="s">
        <v>891</v>
      </c>
    </row>
    <row r="64" spans="1:18" ht="158.4" x14ac:dyDescent="0.3">
      <c r="A64" s="3" t="s">
        <v>417</v>
      </c>
      <c r="B64" s="4" t="s">
        <v>418</v>
      </c>
      <c r="C64" s="4" t="s">
        <v>419</v>
      </c>
      <c r="D64" s="4" t="s">
        <v>19</v>
      </c>
      <c r="E64" s="4" t="s">
        <v>420</v>
      </c>
      <c r="F64" s="5" t="s">
        <v>163</v>
      </c>
      <c r="G64" s="5" t="s">
        <v>421</v>
      </c>
      <c r="H64" s="5" t="s">
        <v>422</v>
      </c>
      <c r="I64" s="5" t="s">
        <v>33</v>
      </c>
      <c r="J64" s="4" t="s">
        <v>24</v>
      </c>
      <c r="K64" s="4" t="s">
        <v>956</v>
      </c>
      <c r="L64" s="4" t="s">
        <v>957</v>
      </c>
      <c r="M64" s="7" t="s">
        <v>401</v>
      </c>
      <c r="N64" s="4" t="s">
        <v>423</v>
      </c>
      <c r="O64" s="16" t="s">
        <v>969</v>
      </c>
      <c r="P64" s="16" t="s">
        <v>892</v>
      </c>
      <c r="Q64" s="16" t="s">
        <v>970</v>
      </c>
      <c r="R64" s="16" t="s">
        <v>971</v>
      </c>
    </row>
    <row r="65" spans="1:18" ht="57.6" x14ac:dyDescent="0.3">
      <c r="A65" s="3" t="s">
        <v>424</v>
      </c>
      <c r="B65" s="4" t="s">
        <v>425</v>
      </c>
      <c r="C65" s="4" t="s">
        <v>426</v>
      </c>
      <c r="D65" s="4" t="s">
        <v>84</v>
      </c>
      <c r="E65" s="4" t="s">
        <v>427</v>
      </c>
      <c r="F65" s="5" t="s">
        <v>354</v>
      </c>
      <c r="G65" s="5" t="s">
        <v>428</v>
      </c>
      <c r="H65" s="5" t="s">
        <v>429</v>
      </c>
      <c r="I65" s="5" t="s">
        <v>33</v>
      </c>
      <c r="J65" s="4" t="s">
        <v>24</v>
      </c>
      <c r="K65" s="6" t="s">
        <v>682</v>
      </c>
      <c r="L65" s="6" t="s">
        <v>670</v>
      </c>
      <c r="M65" s="5" t="s">
        <v>430</v>
      </c>
      <c r="N65" s="4" t="s">
        <v>431</v>
      </c>
      <c r="O65" s="16" t="s">
        <v>864</v>
      </c>
      <c r="P65" s="16" t="s">
        <v>893</v>
      </c>
      <c r="Q65" s="16" t="s">
        <v>864</v>
      </c>
      <c r="R65" s="16" t="s">
        <v>894</v>
      </c>
    </row>
    <row r="66" spans="1:18" ht="230.4" x14ac:dyDescent="0.3">
      <c r="A66" s="3" t="s">
        <v>432</v>
      </c>
      <c r="B66" s="4" t="s">
        <v>433</v>
      </c>
      <c r="C66" s="4" t="s">
        <v>434</v>
      </c>
      <c r="D66" s="4" t="s">
        <v>19</v>
      </c>
      <c r="E66" s="4" t="s">
        <v>435</v>
      </c>
      <c r="F66" s="5" t="s">
        <v>364</v>
      </c>
      <c r="G66" s="5" t="s">
        <v>436</v>
      </c>
      <c r="H66" s="5" t="s">
        <v>437</v>
      </c>
      <c r="I66" s="5" t="s">
        <v>33</v>
      </c>
      <c r="J66" s="4" t="s">
        <v>24</v>
      </c>
      <c r="K66" s="4" t="s">
        <v>958</v>
      </c>
      <c r="L66" s="4" t="s">
        <v>683</v>
      </c>
      <c r="M66" s="7" t="s">
        <v>25</v>
      </c>
      <c r="N66" s="4" t="s">
        <v>48</v>
      </c>
      <c r="O66" s="16" t="s">
        <v>895</v>
      </c>
      <c r="P66" s="16" t="s">
        <v>896</v>
      </c>
      <c r="Q66" s="16" t="s">
        <v>972</v>
      </c>
      <c r="R66" s="16" t="s">
        <v>973</v>
      </c>
    </row>
    <row r="67" spans="1:18" ht="201.6" x14ac:dyDescent="0.3">
      <c r="A67" s="3" t="s">
        <v>438</v>
      </c>
      <c r="B67" s="4" t="s">
        <v>439</v>
      </c>
      <c r="C67" s="4" t="s">
        <v>440</v>
      </c>
      <c r="D67" s="4" t="s">
        <v>19</v>
      </c>
      <c r="E67" s="4" t="s">
        <v>441</v>
      </c>
      <c r="F67" s="5" t="s">
        <v>70</v>
      </c>
      <c r="G67" s="5" t="s">
        <v>442</v>
      </c>
      <c r="H67" s="4" t="s">
        <v>443</v>
      </c>
      <c r="I67" s="5" t="s">
        <v>33</v>
      </c>
      <c r="J67" s="4" t="s">
        <v>444</v>
      </c>
      <c r="K67" s="4" t="s">
        <v>959</v>
      </c>
      <c r="L67" s="4" t="s">
        <v>960</v>
      </c>
      <c r="M67" s="7" t="s">
        <v>25</v>
      </c>
      <c r="N67" s="4" t="s">
        <v>445</v>
      </c>
      <c r="O67" s="16" t="s">
        <v>974</v>
      </c>
      <c r="P67" s="16" t="s">
        <v>897</v>
      </c>
      <c r="Q67" s="16" t="s">
        <v>975</v>
      </c>
      <c r="R67" s="16" t="s">
        <v>976</v>
      </c>
    </row>
    <row r="68" spans="1:18" ht="175.95" customHeight="1" x14ac:dyDescent="0.3">
      <c r="A68" s="3" t="s">
        <v>446</v>
      </c>
      <c r="B68" s="4" t="s">
        <v>447</v>
      </c>
      <c r="C68" s="4" t="s">
        <v>448</v>
      </c>
      <c r="D68" s="4" t="s">
        <v>19</v>
      </c>
      <c r="E68" s="4" t="s">
        <v>449</v>
      </c>
      <c r="F68" s="5" t="s">
        <v>21</v>
      </c>
      <c r="G68" s="5" t="s">
        <v>450</v>
      </c>
      <c r="H68" s="5" t="s">
        <v>451</v>
      </c>
      <c r="I68" s="5" t="s">
        <v>452</v>
      </c>
      <c r="J68" s="4" t="s">
        <v>24</v>
      </c>
      <c r="K68" s="4" t="s">
        <v>684</v>
      </c>
      <c r="L68" s="4" t="s">
        <v>685</v>
      </c>
      <c r="M68" s="7" t="s">
        <v>25</v>
      </c>
      <c r="N68" s="4" t="s">
        <v>453</v>
      </c>
      <c r="O68" s="16" t="s">
        <v>898</v>
      </c>
      <c r="P68" s="16" t="s">
        <v>899</v>
      </c>
      <c r="Q68" s="16" t="s">
        <v>900</v>
      </c>
      <c r="R68" s="16" t="s">
        <v>901</v>
      </c>
    </row>
    <row r="69" spans="1:18" ht="91.2" customHeight="1" x14ac:dyDescent="0.3">
      <c r="A69" s="3" t="s">
        <v>454</v>
      </c>
      <c r="B69" s="4" t="s">
        <v>439</v>
      </c>
      <c r="C69" s="4" t="s">
        <v>455</v>
      </c>
      <c r="D69" s="4" t="s">
        <v>84</v>
      </c>
      <c r="E69" s="4" t="s">
        <v>456</v>
      </c>
      <c r="F69" s="5" t="s">
        <v>21</v>
      </c>
      <c r="G69" s="5" t="s">
        <v>568</v>
      </c>
      <c r="H69" s="5" t="s">
        <v>569</v>
      </c>
      <c r="I69" s="5" t="s">
        <v>570</v>
      </c>
      <c r="J69" s="4" t="s">
        <v>24</v>
      </c>
      <c r="K69" s="4" t="s">
        <v>686</v>
      </c>
      <c r="L69" s="4" t="s">
        <v>687</v>
      </c>
      <c r="M69" s="7" t="s">
        <v>25</v>
      </c>
      <c r="N69" s="4" t="s">
        <v>563</v>
      </c>
      <c r="O69" s="16" t="s">
        <v>902</v>
      </c>
      <c r="P69" s="16" t="s">
        <v>903</v>
      </c>
      <c r="Q69" s="16" t="s">
        <v>783</v>
      </c>
      <c r="R69" s="16" t="s">
        <v>768</v>
      </c>
    </row>
    <row r="70" spans="1:18" ht="158.4" x14ac:dyDescent="0.3">
      <c r="A70" s="3" t="s">
        <v>457</v>
      </c>
      <c r="B70" s="4" t="s">
        <v>458</v>
      </c>
      <c r="C70" s="4" t="s">
        <v>459</v>
      </c>
      <c r="D70" s="4" t="s">
        <v>19</v>
      </c>
      <c r="E70" s="4" t="s">
        <v>460</v>
      </c>
      <c r="F70" s="5" t="s">
        <v>354</v>
      </c>
      <c r="G70" s="5" t="s">
        <v>461</v>
      </c>
      <c r="H70" s="5" t="s">
        <v>462</v>
      </c>
      <c r="I70" s="5" t="s">
        <v>33</v>
      </c>
      <c r="J70" s="4" t="s">
        <v>463</v>
      </c>
      <c r="K70" s="4" t="s">
        <v>688</v>
      </c>
      <c r="L70" s="6" t="s">
        <v>986</v>
      </c>
      <c r="M70" s="7" t="s">
        <v>25</v>
      </c>
      <c r="N70" s="4" t="s">
        <v>445</v>
      </c>
      <c r="O70" s="16" t="s">
        <v>904</v>
      </c>
      <c r="P70" s="16" t="s">
        <v>905</v>
      </c>
      <c r="Q70" s="16" t="s">
        <v>993</v>
      </c>
      <c r="R70" s="16" t="s">
        <v>906</v>
      </c>
    </row>
    <row r="71" spans="1:18" ht="86.4" x14ac:dyDescent="0.3">
      <c r="A71" s="3" t="s">
        <v>464</v>
      </c>
      <c r="B71" s="4" t="s">
        <v>465</v>
      </c>
      <c r="C71" s="4" t="s">
        <v>466</v>
      </c>
      <c r="D71" s="4" t="s">
        <v>19</v>
      </c>
      <c r="E71" s="4" t="s">
        <v>467</v>
      </c>
      <c r="F71" s="5" t="s">
        <v>94</v>
      </c>
      <c r="G71" s="5" t="s">
        <v>468</v>
      </c>
      <c r="H71" s="5" t="s">
        <v>469</v>
      </c>
      <c r="I71" s="5" t="s">
        <v>33</v>
      </c>
      <c r="J71" s="4" t="s">
        <v>24</v>
      </c>
      <c r="K71" s="4" t="s">
        <v>689</v>
      </c>
      <c r="L71" s="4" t="s">
        <v>651</v>
      </c>
      <c r="M71" s="7" t="s">
        <v>25</v>
      </c>
      <c r="N71" s="4" t="s">
        <v>110</v>
      </c>
      <c r="O71" s="16" t="s">
        <v>837</v>
      </c>
      <c r="P71" s="16" t="s">
        <v>907</v>
      </c>
      <c r="Q71" s="16" t="s">
        <v>783</v>
      </c>
      <c r="R71" s="16" t="s">
        <v>784</v>
      </c>
    </row>
    <row r="72" spans="1:18" ht="158.4" x14ac:dyDescent="0.3">
      <c r="A72" s="3" t="s">
        <v>470</v>
      </c>
      <c r="B72" s="4" t="s">
        <v>471</v>
      </c>
      <c r="C72" s="4" t="s">
        <v>472</v>
      </c>
      <c r="D72" s="4" t="s">
        <v>19</v>
      </c>
      <c r="E72" s="4" t="s">
        <v>473</v>
      </c>
      <c r="F72" s="5" t="s">
        <v>474</v>
      </c>
      <c r="G72" s="5" t="s">
        <v>475</v>
      </c>
      <c r="H72" s="5" t="s">
        <v>476</v>
      </c>
      <c r="I72" s="5" t="s">
        <v>33</v>
      </c>
      <c r="J72" s="4" t="s">
        <v>24</v>
      </c>
      <c r="K72" s="4" t="s">
        <v>690</v>
      </c>
      <c r="L72" s="6" t="s">
        <v>987</v>
      </c>
      <c r="M72" s="7" t="s">
        <v>25</v>
      </c>
      <c r="N72" s="4" t="s">
        <v>48</v>
      </c>
      <c r="O72" s="16" t="s">
        <v>908</v>
      </c>
      <c r="P72" s="16" t="s">
        <v>909</v>
      </c>
      <c r="Q72" s="16" t="s">
        <v>994</v>
      </c>
      <c r="R72" s="16" t="s">
        <v>910</v>
      </c>
    </row>
    <row r="73" spans="1:18" ht="244.8" x14ac:dyDescent="0.3">
      <c r="A73" s="3" t="s">
        <v>477</v>
      </c>
      <c r="B73" s="4" t="s">
        <v>478</v>
      </c>
      <c r="C73" s="4" t="s">
        <v>479</v>
      </c>
      <c r="D73" s="4" t="s">
        <v>19</v>
      </c>
      <c r="E73" s="4" t="s">
        <v>480</v>
      </c>
      <c r="F73" s="5" t="s">
        <v>354</v>
      </c>
      <c r="G73" s="5" t="s">
        <v>481</v>
      </c>
      <c r="H73" s="4" t="s">
        <v>482</v>
      </c>
      <c r="I73" s="5" t="s">
        <v>33</v>
      </c>
      <c r="J73" s="4" t="s">
        <v>483</v>
      </c>
      <c r="K73" s="4" t="s">
        <v>691</v>
      </c>
      <c r="L73" s="6" t="s">
        <v>988</v>
      </c>
      <c r="M73" s="7" t="s">
        <v>25</v>
      </c>
      <c r="N73" s="4" t="s">
        <v>48</v>
      </c>
      <c r="O73" s="16" t="s">
        <v>989</v>
      </c>
      <c r="P73" s="16" t="s">
        <v>911</v>
      </c>
      <c r="Q73" s="16" t="s">
        <v>995</v>
      </c>
      <c r="R73" s="16" t="s">
        <v>997</v>
      </c>
    </row>
    <row r="74" spans="1:18" ht="86.4" x14ac:dyDescent="0.3">
      <c r="A74" s="3" t="s">
        <v>484</v>
      </c>
      <c r="B74" s="4" t="s">
        <v>485</v>
      </c>
      <c r="C74" s="4" t="s">
        <v>486</v>
      </c>
      <c r="D74" s="4" t="s">
        <v>19</v>
      </c>
      <c r="E74" s="4" t="s">
        <v>487</v>
      </c>
      <c r="F74" s="5" t="s">
        <v>94</v>
      </c>
      <c r="G74" s="5" t="s">
        <v>488</v>
      </c>
      <c r="H74" s="4" t="s">
        <v>489</v>
      </c>
      <c r="I74" s="5" t="s">
        <v>33</v>
      </c>
      <c r="J74" s="4" t="s">
        <v>490</v>
      </c>
      <c r="K74" s="4" t="s">
        <v>692</v>
      </c>
      <c r="L74" s="6" t="s">
        <v>670</v>
      </c>
      <c r="M74" s="7" t="s">
        <v>25</v>
      </c>
      <c r="N74" s="4" t="s">
        <v>947</v>
      </c>
      <c r="O74" s="16" t="s">
        <v>864</v>
      </c>
      <c r="P74" s="16" t="s">
        <v>912</v>
      </c>
      <c r="Q74" s="16" t="s">
        <v>864</v>
      </c>
      <c r="R74" s="16" t="s">
        <v>913</v>
      </c>
    </row>
    <row r="75" spans="1:18" ht="331.2" x14ac:dyDescent="0.3">
      <c r="A75" s="3" t="s">
        <v>491</v>
      </c>
      <c r="B75" s="4" t="s">
        <v>492</v>
      </c>
      <c r="C75" s="4" t="s">
        <v>493</v>
      </c>
      <c r="D75" s="4" t="s">
        <v>19</v>
      </c>
      <c r="E75" s="4" t="s">
        <v>940</v>
      </c>
      <c r="F75" s="5" t="s">
        <v>94</v>
      </c>
      <c r="G75" s="5" t="s">
        <v>494</v>
      </c>
      <c r="H75" s="4" t="s">
        <v>495</v>
      </c>
      <c r="I75" s="5" t="s">
        <v>33</v>
      </c>
      <c r="J75" s="4" t="s">
        <v>496</v>
      </c>
      <c r="K75" s="4" t="s">
        <v>693</v>
      </c>
      <c r="L75" s="4" t="s">
        <v>694</v>
      </c>
      <c r="M75" s="7" t="s">
        <v>25</v>
      </c>
      <c r="N75" s="4" t="s">
        <v>948</v>
      </c>
      <c r="O75" s="16" t="s">
        <v>914</v>
      </c>
      <c r="P75" s="16" t="s">
        <v>915</v>
      </c>
      <c r="Q75" s="16" t="s">
        <v>996</v>
      </c>
      <c r="R75" s="16" t="s">
        <v>916</v>
      </c>
    </row>
    <row r="76" spans="1:18" ht="244.8" x14ac:dyDescent="0.3">
      <c r="A76" s="3" t="s">
        <v>497</v>
      </c>
      <c r="B76" s="4" t="s">
        <v>498</v>
      </c>
      <c r="C76" s="4" t="s">
        <v>499</v>
      </c>
      <c r="D76" s="4" t="s">
        <v>19</v>
      </c>
      <c r="E76" s="4" t="s">
        <v>500</v>
      </c>
      <c r="F76" s="5" t="s">
        <v>70</v>
      </c>
      <c r="G76" s="5" t="s">
        <v>501</v>
      </c>
      <c r="H76" s="4" t="s">
        <v>502</v>
      </c>
      <c r="I76" s="5" t="s">
        <v>33</v>
      </c>
      <c r="J76" s="4" t="s">
        <v>24</v>
      </c>
      <c r="K76" s="4" t="s">
        <v>695</v>
      </c>
      <c r="L76" s="4" t="s">
        <v>696</v>
      </c>
      <c r="M76" s="7" t="s">
        <v>25</v>
      </c>
      <c r="N76" s="4" t="s">
        <v>503</v>
      </c>
      <c r="O76" s="16" t="s">
        <v>917</v>
      </c>
      <c r="P76" s="16" t="s">
        <v>918</v>
      </c>
      <c r="Q76" s="16" t="s">
        <v>977</v>
      </c>
      <c r="R76" s="16" t="s">
        <v>978</v>
      </c>
    </row>
    <row r="77" spans="1:18" ht="201.6" x14ac:dyDescent="0.3">
      <c r="A77" s="3" t="s">
        <v>173</v>
      </c>
      <c r="B77" s="4" t="s">
        <v>504</v>
      </c>
      <c r="C77" s="4" t="s">
        <v>939</v>
      </c>
      <c r="D77" s="4" t="s">
        <v>84</v>
      </c>
      <c r="E77" s="4" t="s">
        <v>941</v>
      </c>
      <c r="F77" s="5" t="s">
        <v>163</v>
      </c>
      <c r="G77" s="5" t="s">
        <v>505</v>
      </c>
      <c r="H77" s="4" t="s">
        <v>943</v>
      </c>
      <c r="I77" s="5" t="s">
        <v>33</v>
      </c>
      <c r="J77" s="4" t="s">
        <v>24</v>
      </c>
      <c r="K77" s="4" t="s">
        <v>697</v>
      </c>
      <c r="L77" s="6" t="s">
        <v>670</v>
      </c>
      <c r="M77" s="7" t="s">
        <v>25</v>
      </c>
      <c r="N77" s="4" t="s">
        <v>949</v>
      </c>
      <c r="O77" s="16" t="s">
        <v>919</v>
      </c>
      <c r="P77" s="16" t="s">
        <v>920</v>
      </c>
      <c r="Q77" s="16" t="s">
        <v>919</v>
      </c>
      <c r="R77" s="16" t="s">
        <v>921</v>
      </c>
    </row>
    <row r="78" spans="1:18" ht="216" x14ac:dyDescent="0.3">
      <c r="A78" s="3" t="s">
        <v>506</v>
      </c>
      <c r="B78" s="4" t="s">
        <v>507</v>
      </c>
      <c r="C78" s="4" t="s">
        <v>508</v>
      </c>
      <c r="D78" s="4" t="s">
        <v>19</v>
      </c>
      <c r="E78" s="4" t="s">
        <v>509</v>
      </c>
      <c r="F78" s="5" t="s">
        <v>163</v>
      </c>
      <c r="G78" s="5" t="s">
        <v>510</v>
      </c>
      <c r="H78" s="4" t="s">
        <v>511</v>
      </c>
      <c r="I78" s="5" t="s">
        <v>33</v>
      </c>
      <c r="J78" s="4" t="s">
        <v>512</v>
      </c>
      <c r="K78" s="4" t="s">
        <v>961</v>
      </c>
      <c r="L78" s="4" t="s">
        <v>687</v>
      </c>
      <c r="M78" s="7" t="s">
        <v>25</v>
      </c>
      <c r="N78" s="4" t="s">
        <v>48</v>
      </c>
      <c r="O78" s="16" t="s">
        <v>902</v>
      </c>
      <c r="P78" s="16" t="s">
        <v>922</v>
      </c>
      <c r="Q78" s="16" t="s">
        <v>979</v>
      </c>
      <c r="R78" s="16" t="s">
        <v>976</v>
      </c>
    </row>
    <row r="79" spans="1:18" ht="57.6" x14ac:dyDescent="0.3">
      <c r="A79" s="3" t="s">
        <v>513</v>
      </c>
      <c r="B79" s="4" t="s">
        <v>514</v>
      </c>
      <c r="C79" s="4" t="s">
        <v>515</v>
      </c>
      <c r="D79" s="4" t="s">
        <v>19</v>
      </c>
      <c r="E79" s="4" t="s">
        <v>516</v>
      </c>
      <c r="F79" s="5" t="s">
        <v>70</v>
      </c>
      <c r="G79" s="5" t="s">
        <v>517</v>
      </c>
      <c r="H79" s="4" t="s">
        <v>518</v>
      </c>
      <c r="I79" s="5" t="s">
        <v>33</v>
      </c>
      <c r="J79" s="4" t="s">
        <v>24</v>
      </c>
      <c r="K79" s="6" t="s">
        <v>698</v>
      </c>
      <c r="L79" s="6" t="s">
        <v>670</v>
      </c>
      <c r="M79" s="7" t="s">
        <v>25</v>
      </c>
      <c r="N79" s="4" t="s">
        <v>445</v>
      </c>
      <c r="O79" s="16" t="s">
        <v>864</v>
      </c>
      <c r="P79" s="16" t="s">
        <v>923</v>
      </c>
      <c r="Q79" s="16" t="s">
        <v>864</v>
      </c>
      <c r="R79" s="16" t="s">
        <v>924</v>
      </c>
    </row>
    <row r="80" spans="1:18" ht="72" x14ac:dyDescent="0.3">
      <c r="A80" s="3" t="s">
        <v>519</v>
      </c>
      <c r="B80" s="4" t="s">
        <v>520</v>
      </c>
      <c r="C80" s="4" t="s">
        <v>521</v>
      </c>
      <c r="D80" s="4" t="s">
        <v>19</v>
      </c>
      <c r="E80" s="4" t="s">
        <v>522</v>
      </c>
      <c r="F80" s="5" t="s">
        <v>70</v>
      </c>
      <c r="G80" s="5" t="s">
        <v>523</v>
      </c>
      <c r="H80" s="5" t="s">
        <v>524</v>
      </c>
      <c r="I80" s="5" t="s">
        <v>33</v>
      </c>
      <c r="J80" s="4" t="s">
        <v>24</v>
      </c>
      <c r="K80" s="4" t="s">
        <v>699</v>
      </c>
      <c r="L80" s="4" t="s">
        <v>962</v>
      </c>
      <c r="M80" s="7" t="s">
        <v>25</v>
      </c>
      <c r="N80" s="4" t="s">
        <v>525</v>
      </c>
      <c r="O80" s="16" t="s">
        <v>980</v>
      </c>
      <c r="P80" s="16" t="s">
        <v>925</v>
      </c>
      <c r="Q80" s="16" t="s">
        <v>981</v>
      </c>
      <c r="R80" s="16" t="s">
        <v>982</v>
      </c>
    </row>
    <row r="81" spans="1:18" ht="129.6" x14ac:dyDescent="0.3">
      <c r="A81" s="3" t="s">
        <v>526</v>
      </c>
      <c r="B81" s="4" t="s">
        <v>527</v>
      </c>
      <c r="C81" s="4" t="s">
        <v>528</v>
      </c>
      <c r="D81" s="4" t="s">
        <v>19</v>
      </c>
      <c r="E81" s="4" t="s">
        <v>942</v>
      </c>
      <c r="F81" s="5" t="s">
        <v>70</v>
      </c>
      <c r="G81" s="5" t="s">
        <v>529</v>
      </c>
      <c r="H81" s="4" t="s">
        <v>530</v>
      </c>
      <c r="I81" s="5" t="s">
        <v>33</v>
      </c>
      <c r="J81" s="4" t="s">
        <v>531</v>
      </c>
      <c r="K81" s="6" t="s">
        <v>700</v>
      </c>
      <c r="L81" s="6" t="s">
        <v>670</v>
      </c>
      <c r="M81" s="5" t="s">
        <v>532</v>
      </c>
      <c r="N81" s="4" t="s">
        <v>950</v>
      </c>
      <c r="O81" s="16" t="s">
        <v>864</v>
      </c>
      <c r="P81" s="16" t="s">
        <v>926</v>
      </c>
      <c r="Q81" s="16" t="s">
        <v>864</v>
      </c>
      <c r="R81" s="16" t="s">
        <v>927</v>
      </c>
    </row>
    <row r="82" spans="1:18" ht="115.2" x14ac:dyDescent="0.3">
      <c r="A82" s="3" t="s">
        <v>533</v>
      </c>
      <c r="B82" s="4" t="s">
        <v>534</v>
      </c>
      <c r="C82" s="4" t="s">
        <v>535</v>
      </c>
      <c r="D82" s="4" t="s">
        <v>19</v>
      </c>
      <c r="E82" s="4" t="s">
        <v>536</v>
      </c>
      <c r="F82" s="5" t="s">
        <v>364</v>
      </c>
      <c r="G82" s="5" t="s">
        <v>537</v>
      </c>
      <c r="H82" s="5" t="s">
        <v>538</v>
      </c>
      <c r="I82" s="5" t="s">
        <v>33</v>
      </c>
      <c r="J82" s="4" t="s">
        <v>24</v>
      </c>
      <c r="K82" s="6" t="s">
        <v>701</v>
      </c>
      <c r="L82" s="6" t="s">
        <v>702</v>
      </c>
      <c r="M82" s="7" t="s">
        <v>25</v>
      </c>
      <c r="N82" s="4" t="s">
        <v>48</v>
      </c>
      <c r="O82" s="16" t="s">
        <v>928</v>
      </c>
      <c r="P82" s="16" t="s">
        <v>929</v>
      </c>
      <c r="Q82" s="16" t="s">
        <v>871</v>
      </c>
      <c r="R82" s="16" t="s">
        <v>930</v>
      </c>
    </row>
    <row r="83" spans="1:18" ht="230.4" x14ac:dyDescent="0.3">
      <c r="A83" s="3" t="s">
        <v>539</v>
      </c>
      <c r="B83" s="4" t="s">
        <v>540</v>
      </c>
      <c r="C83" s="4" t="s">
        <v>541</v>
      </c>
      <c r="D83" s="4" t="s">
        <v>19</v>
      </c>
      <c r="E83" s="4" t="s">
        <v>542</v>
      </c>
      <c r="F83" s="5" t="s">
        <v>21</v>
      </c>
      <c r="G83" s="5" t="s">
        <v>39</v>
      </c>
      <c r="H83" s="5" t="s">
        <v>543</v>
      </c>
      <c r="I83" s="5" t="s">
        <v>33</v>
      </c>
      <c r="J83" s="4" t="s">
        <v>24</v>
      </c>
      <c r="K83" s="4" t="s">
        <v>703</v>
      </c>
      <c r="L83" s="4" t="s">
        <v>704</v>
      </c>
      <c r="M83" s="7" t="s">
        <v>25</v>
      </c>
      <c r="N83" s="4" t="s">
        <v>544</v>
      </c>
      <c r="O83" s="16" t="s">
        <v>761</v>
      </c>
      <c r="P83" s="16" t="s">
        <v>931</v>
      </c>
      <c r="Q83" s="16" t="s">
        <v>932</v>
      </c>
      <c r="R83" s="16" t="s">
        <v>933</v>
      </c>
    </row>
    <row r="84" spans="1:18" ht="72" x14ac:dyDescent="0.3">
      <c r="A84" s="3" t="s">
        <v>545</v>
      </c>
      <c r="B84" s="4" t="s">
        <v>546</v>
      </c>
      <c r="C84" s="4" t="s">
        <v>547</v>
      </c>
      <c r="D84" s="4" t="s">
        <v>84</v>
      </c>
      <c r="E84" s="4" t="s">
        <v>548</v>
      </c>
      <c r="F84" s="5" t="s">
        <v>549</v>
      </c>
      <c r="G84" s="5" t="s">
        <v>550</v>
      </c>
      <c r="H84" s="5" t="s">
        <v>551</v>
      </c>
      <c r="I84" s="5" t="s">
        <v>33</v>
      </c>
      <c r="J84" s="4" t="s">
        <v>24</v>
      </c>
      <c r="K84" s="6" t="s">
        <v>705</v>
      </c>
      <c r="L84" s="6" t="s">
        <v>670</v>
      </c>
      <c r="M84" s="7" t="s">
        <v>25</v>
      </c>
      <c r="N84" s="4" t="s">
        <v>552</v>
      </c>
      <c r="O84" s="16" t="s">
        <v>864</v>
      </c>
      <c r="P84" s="16" t="s">
        <v>934</v>
      </c>
      <c r="Q84" s="16" t="s">
        <v>864</v>
      </c>
      <c r="R84" s="16" t="s">
        <v>935</v>
      </c>
    </row>
  </sheetData>
  <autoFilter ref="A5:R84" xr:uid="{00000000-0001-0000-0000-000000000000}"/>
  <mergeCells count="2">
    <mergeCell ref="A3:N3"/>
    <mergeCell ref="A2:N2"/>
  </mergeCells>
  <pageMargins left="0.75" right="0.75" top="1" bottom="1" header="0.5" footer="0.5"/>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
  <sheetViews>
    <sheetView workbookViewId="0">
      <selection activeCell="A2" sqref="A2"/>
    </sheetView>
  </sheetViews>
  <sheetFormatPr defaultRowHeight="14.4" x14ac:dyDescent="0.3"/>
  <cols>
    <col min="1" max="1" width="47.6640625" bestFit="1" customWidth="1"/>
    <col min="2" max="2" width="12" bestFit="1" customWidth="1"/>
    <col min="3" max="3" width="10.44140625" bestFit="1" customWidth="1"/>
    <col min="4" max="4" width="44" customWidth="1"/>
    <col min="5" max="5" width="18.88671875" bestFit="1" customWidth="1"/>
  </cols>
  <sheetData>
    <row r="1" spans="1:5" ht="15.6" x14ac:dyDescent="0.3">
      <c r="A1" s="9" t="s">
        <v>951</v>
      </c>
    </row>
    <row r="3" spans="1:5" x14ac:dyDescent="0.3">
      <c r="A3" s="10" t="s">
        <v>553</v>
      </c>
      <c r="B3" s="10" t="s">
        <v>554</v>
      </c>
      <c r="C3" s="10" t="s">
        <v>555</v>
      </c>
      <c r="D3" s="10" t="s">
        <v>556</v>
      </c>
      <c r="E3" s="12" t="s">
        <v>574</v>
      </c>
    </row>
    <row r="4" spans="1:5" ht="34.200000000000003" x14ac:dyDescent="0.3">
      <c r="A4" s="4" t="s">
        <v>7</v>
      </c>
      <c r="B4" s="4">
        <v>79</v>
      </c>
      <c r="C4" s="4">
        <v>0</v>
      </c>
      <c r="D4" s="4" t="s">
        <v>557</v>
      </c>
      <c r="E4" s="13">
        <f>IF((B4+C4)=0,"",B4/(B4+C4))</f>
        <v>1</v>
      </c>
    </row>
    <row r="5" spans="1:5" ht="57" x14ac:dyDescent="0.3">
      <c r="A5" s="4" t="s">
        <v>8</v>
      </c>
      <c r="B5" s="4">
        <v>79</v>
      </c>
      <c r="C5" s="4">
        <v>0</v>
      </c>
      <c r="D5" s="4" t="s">
        <v>571</v>
      </c>
      <c r="E5" s="13">
        <f t="shared" ref="E5:E10" si="0">IF((B5+C5)=0,"",B5/(B5+C5))</f>
        <v>1</v>
      </c>
    </row>
    <row r="6" spans="1:5" ht="45.6" x14ac:dyDescent="0.3">
      <c r="A6" s="4" t="s">
        <v>9</v>
      </c>
      <c r="B6" s="4">
        <v>79</v>
      </c>
      <c r="C6" s="4">
        <v>0</v>
      </c>
      <c r="D6" s="4" t="s">
        <v>572</v>
      </c>
      <c r="E6" s="13">
        <f t="shared" si="0"/>
        <v>1</v>
      </c>
    </row>
    <row r="7" spans="1:5" ht="193.8" x14ac:dyDescent="0.3">
      <c r="A7" s="4" t="s">
        <v>10</v>
      </c>
      <c r="B7" s="4">
        <v>2</v>
      </c>
      <c r="C7" s="4">
        <v>77</v>
      </c>
      <c r="D7" s="4" t="s">
        <v>573</v>
      </c>
      <c r="E7" s="13">
        <f t="shared" si="0"/>
        <v>2.5316455696202531E-2</v>
      </c>
    </row>
    <row r="8" spans="1:5" x14ac:dyDescent="0.3">
      <c r="A8" s="4" t="s">
        <v>11</v>
      </c>
      <c r="B8" s="4">
        <v>79</v>
      </c>
      <c r="C8" s="4">
        <v>0</v>
      </c>
      <c r="D8" s="4" t="s">
        <v>558</v>
      </c>
      <c r="E8" s="13">
        <f t="shared" si="0"/>
        <v>1</v>
      </c>
    </row>
    <row r="9" spans="1:5" ht="148.19999999999999" x14ac:dyDescent="0.3">
      <c r="A9" s="4" t="s">
        <v>12</v>
      </c>
      <c r="B9" s="4">
        <v>79</v>
      </c>
      <c r="C9" s="4">
        <v>0</v>
      </c>
      <c r="D9" s="4" t="s">
        <v>983</v>
      </c>
      <c r="E9" s="13">
        <f t="shared" si="0"/>
        <v>1</v>
      </c>
    </row>
    <row r="10" spans="1:5" ht="148.19999999999999" x14ac:dyDescent="0.3">
      <c r="A10" s="4" t="s">
        <v>13</v>
      </c>
      <c r="B10" s="4">
        <v>79</v>
      </c>
      <c r="C10" s="4">
        <v>0</v>
      </c>
      <c r="D10" s="4" t="s">
        <v>984</v>
      </c>
      <c r="E10" s="13">
        <f t="shared" si="0"/>
        <v>1</v>
      </c>
    </row>
    <row r="12" spans="1:5" x14ac:dyDescent="0.3">
      <c r="A12" s="11"/>
    </row>
    <row r="13" spans="1:5" x14ac:dyDescent="0.3">
      <c r="A13" t="s">
        <v>575</v>
      </c>
      <c r="B13" s="14">
        <f>SUM(B4:B10)/(SUM(B4:B10)+SUM(C4:C10))</f>
        <v>0.86075949367088611</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0E6AB5134EB1F48BDC02E5481C039B5" ma:contentTypeVersion="15" ma:contentTypeDescription="Create a new document." ma:contentTypeScope="" ma:versionID="e2d254c18d8b18bbd5b2eea01dad530d">
  <xsd:schema xmlns:xsd="http://www.w3.org/2001/XMLSchema" xmlns:xs="http://www.w3.org/2001/XMLSchema" xmlns:p="http://schemas.microsoft.com/office/2006/metadata/properties" xmlns:ns3="c76fba90-bd48-4e65-9fce-772627206c4f" xmlns:ns4="e22f23d7-3fad-4827-9042-e8f9304ef95e" targetNamespace="http://schemas.microsoft.com/office/2006/metadata/properties" ma:root="true" ma:fieldsID="f4c6dbb42e6786ab9b115def02c94e82" ns3:_="" ns4:_="">
    <xsd:import namespace="c76fba90-bd48-4e65-9fce-772627206c4f"/>
    <xsd:import namespace="e22f23d7-3fad-4827-9042-e8f9304ef95e"/>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GenerationTime" minOccurs="0"/>
                <xsd:element ref="ns3:MediaServiceEventHashCode" minOccurs="0"/>
                <xsd:element ref="ns3:MediaLengthInSeconds" minOccurs="0"/>
                <xsd:element ref="ns3:_activity" minOccurs="0"/>
                <xsd:element ref="ns4:SharedWithUsers" minOccurs="0"/>
                <xsd:element ref="ns4:SharedWithDetails" minOccurs="0"/>
                <xsd:element ref="ns4:SharingHintHash" minOccurs="0"/>
                <xsd:element ref="ns3:MediaServiceDateTaken"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6fba90-bd48-4e65-9fce-772627206c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_activity" ma:index="16" nillable="true" ma:displayName="_activity" ma:hidden="true" ma:internalName="_activity">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22f23d7-3fad-4827-9042-e8f9304ef95e"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c76fba90-bd48-4e65-9fce-772627206c4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348EDF5-0419-4B2C-8C77-7EEE6BAFA20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76fba90-bd48-4e65-9fce-772627206c4f"/>
    <ds:schemaRef ds:uri="e22f23d7-3fad-4827-9042-e8f9304ef9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3FB2A6B-D58A-4043-A4F7-532B34D9967F}">
  <ds:schemaRefs>
    <ds:schemaRef ds:uri="http://www.w3.org/XML/1998/namespace"/>
    <ds:schemaRef ds:uri="http://purl.org/dc/elements/1.1/"/>
    <ds:schemaRef ds:uri="http://schemas.microsoft.com/office/2006/documentManagement/types"/>
    <ds:schemaRef ds:uri="http://purl.org/dc/dcmitype/"/>
    <ds:schemaRef ds:uri="e22f23d7-3fad-4827-9042-e8f9304ef95e"/>
    <ds:schemaRef ds:uri="http://purl.org/dc/terms/"/>
    <ds:schemaRef ds:uri="http://schemas.microsoft.com/office/2006/metadata/properties"/>
    <ds:schemaRef ds:uri="http://schemas.microsoft.com/office/infopath/2007/PartnerControls"/>
    <ds:schemaRef ds:uri="http://schemas.openxmlformats.org/package/2006/metadata/core-properties"/>
    <ds:schemaRef ds:uri="c76fba90-bd48-4e65-9fce-772627206c4f"/>
  </ds:schemaRefs>
</ds:datastoreItem>
</file>

<file path=customXml/itemProps3.xml><?xml version="1.0" encoding="utf-8"?>
<ds:datastoreItem xmlns:ds="http://schemas.openxmlformats.org/officeDocument/2006/customXml" ds:itemID="{9B903CEE-E95C-42FD-A969-F1901431EC7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RTM v0.11</vt:lpstr>
      <vt:lpstr>Status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ethan lindsay</cp:lastModifiedBy>
  <dcterms:created xsi:type="dcterms:W3CDTF">2026-09-29T13:47:55Z</dcterms:created>
  <dcterms:modified xsi:type="dcterms:W3CDTF">2026-10-18T14:22:42Z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0x010100C0E6AB5134EB1F48BDC02E5481C039B5</vt:lpwstr>
  </property>
</Properties>
</file>