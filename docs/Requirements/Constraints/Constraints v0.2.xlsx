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c906530d9ff38bc/Desktop/SEN381/Ticketing-System/docs/Requirements/"/>
    </mc:Choice>
  </mc:AlternateContent>
  <xr:revisionPtr revIDLastSave="166" documentId="8_{4A4B3C61-DD64-4070-BD95-BDFD6A0DE2B9}" xr6:coauthVersionLast="47" xr6:coauthVersionMax="47" xr10:uidLastSave="{59E8B72F-08EE-4781-8956-3FD6F7C3D5C8}"/>
  <bookViews>
    <workbookView xWindow="9228" yWindow="0" windowWidth="21588" windowHeight="17376" xr2:uid="{B629CCF1-2F03-4A13-AACC-A7A6BED89A4B}"/>
  </bookViews>
  <sheets>
    <sheet name="Constrai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0" i="1" l="1"/>
  <c r="L9" i="1"/>
  <c r="L8" i="1"/>
  <c r="L7" i="1"/>
  <c r="L5" i="1"/>
  <c r="L6" i="1"/>
</calcChain>
</file>

<file path=xl/sharedStrings.xml><?xml version="1.0" encoding="utf-8"?>
<sst xmlns="http://schemas.openxmlformats.org/spreadsheetml/2006/main" count="149" uniqueCount="116">
  <si>
    <t>Constraints</t>
  </si>
  <si>
    <t>Fixed conditions on the project, what each one means for engineering, and where they pull against one another</t>
  </si>
  <si>
    <t>ID</t>
  </si>
  <si>
    <t>Category</t>
  </si>
  <si>
    <t>Constraint</t>
  </si>
  <si>
    <t>Source</t>
  </si>
  <si>
    <t>Engineering implication</t>
  </si>
  <si>
    <t>Interacts with</t>
  </si>
  <si>
    <t>Trade-off summary</t>
  </si>
  <si>
    <t>CON-001</t>
  </si>
  <si>
    <t>Scope</t>
  </si>
  <si>
    <t>The delivered system must support the minimum requester, staff and management capabilities; committed scope is baselined and changed only through controlled change</t>
  </si>
  <si>
    <t>Master Brief s.3, s.4</t>
  </si>
  <si>
    <t>Sets a floor that cannot be traded away under schedule pressure. Any additional feature must be justified against value and its effect on the other constraints, so the scope baseline becomes the reference for every later change request.</t>
  </si>
  <si>
    <t>CON-002</t>
  </si>
  <si>
    <t>Fixed capability floor plus fixed schedule means quality or additional scope absorbs any pressure, not the minimum capabilities</t>
  </si>
  <si>
    <t>Schedule</t>
  </si>
  <si>
    <t>The project must progress through four formal milestones within the SEN381 delivery period, with M1 baselined before architecture decisions are made</t>
  </si>
  <si>
    <t>Master Brief s.4, s.20</t>
  </si>
  <si>
    <t>Rules out exploratory or open-ended technology evaluation in M2. Favours technologies the team can already use productively, and forces requirements to be stable enough at M1 to support architecture decisions that follow immediately.</t>
  </si>
  <si>
    <t>CON-004</t>
  </si>
  <si>
    <t>See CON-004: an unfamiliar stack costs learning time the schedule does not contain</t>
  </si>
  <si>
    <t>CON-003</t>
  </si>
  <si>
    <t>Cost &amp; resources</t>
  </si>
  <si>
    <t>Free or low-cost services preferred where practical; free-tier limits and likely operational cost beyond the educational context must be identified</t>
  </si>
  <si>
    <t>Master Brief s.4, s.18</t>
  </si>
  <si>
    <t>Free tiers commonly restrict backups, private networking, audit log retention and uptime guarantees. The hosting decision therefore cannot be made on price alone and must be evaluated against the security and quality constraints before it is committed.</t>
  </si>
  <si>
    <t>CON-006, CON-007</t>
  </si>
  <si>
    <t>A free tier that lacks audit log retention conflicts directly with the accountability need behind CON-007; either the cost assumption or the retention approach must give</t>
  </si>
  <si>
    <t>Exactly three students, working part-time alongside other modules, with technology limited to what the team can realistically learn and support</t>
  </si>
  <si>
    <t>Master Brief s.4, s.7.1, s.18.1</t>
  </si>
  <si>
    <t>Team capability is an engineering input, not a preference. Selecting an unfamiliar framework spends schedule on learning rather than on verification, and concentrates risk if only one member understands a component.</t>
  </si>
  <si>
    <t>Familiar stack lowers schedule risk but may fit the requirements less well; the trade-off must be recorded in the M2 ADR rather than assumed</t>
  </si>
  <si>
    <t>CON-005</t>
  </si>
  <si>
    <t>Quality</t>
  </si>
  <si>
    <t>Quality attributes must be defined measurably in M1 and later supported by test and measurement evidence; unsupported quality claims are not accepted</t>
  </si>
  <si>
    <t>Master Brief s.4, s.15</t>
  </si>
  <si>
    <t>Every NFR written now creates a later obligation to produce evidence. Vague quality language cannot be verified, so NFRs must carry numbers and conditions from the outset or they will be unusable in M3.</t>
  </si>
  <si>
    <t>Each measurable NFR adds verification work in M3; the number of NFRs is itself a schedule decision</t>
  </si>
  <si>
    <t>CON-006</t>
  </si>
  <si>
    <t>Security</t>
  </si>
  <si>
    <t>Security is a lifecycle-wide responsibility; secrets must not be committed; trust boundaries, authentication, authorisation and least privilege must be addressed from requirements onward</t>
  </si>
  <si>
    <t>Master Brief s.4, s.16</t>
  </si>
  <si>
    <t>Rules out deferring authorisation to late construction. The restricted visibility agreed in CFL-002 requires role-based access control, which is an architecture-level concern and must be treated as an architecturally significant requirement in M2.</t>
  </si>
  <si>
    <t>Some security controls (private networking, log retention, managed identity) are paid features on platforms that are otherwise free</t>
  </si>
  <si>
    <t>CON-007</t>
  </si>
  <si>
    <t>The system handles personal information of students and staff and must comply with applicable data protection obligations under POPIA</t>
  </si>
  <si>
    <t>Campus context; STK-009</t>
  </si>
  <si>
    <t>Constrains what may be captured, who may view it, how long it is retained and whether access is auditable. Data minimisation directly limits the reporting richness sought in CFL-001 and CFL-004.</t>
  </si>
  <si>
    <t>CON-003, CON-001</t>
  </si>
  <si>
    <t>Retention and audit requirements may exceed what a free-tier platform provides; see CON-003</t>
  </si>
  <si>
    <t>CON-008</t>
  </si>
  <si>
    <t>Belgium Campus does not guarantee that a chosen language, framework, service or deployment platform is available or supported on the BC Desktop platform or institutional environment</t>
  </si>
  <si>
    <t>Master Brief s.25</t>
  </si>
  <si>
    <t>Compatibility must be verified before the technology is committed, not after. Creates a real risk that a technically sound choice is undeliverable in the available environment, so the M2 decision needs evidence of availability, not only suitability.</t>
  </si>
  <si>
    <t>CON-002, CON-004</t>
  </si>
  <si>
    <t>Verification costs schedule time in M2; skipping it risks rework that costs far more</t>
  </si>
  <si>
    <t>Constraints by category</t>
  </si>
  <si>
    <t>Total</t>
  </si>
  <si>
    <t>CON-009</t>
  </si>
  <si>
    <t>CON-010</t>
  </si>
  <si>
    <t>CON-011</t>
  </si>
  <si>
    <t>CON-012</t>
  </si>
  <si>
    <t>CON-013</t>
  </si>
  <si>
    <t>Effort and development time must be estimated (COCOMO / PERT)</t>
  </si>
  <si>
    <t>Lecturer instruction, verbal, week of 09/09/2026 — recorded in team notes</t>
  </si>
  <si>
    <t>Verbally ; STK-010</t>
  </si>
  <si>
    <t>Requires a size estimate before M2 scope can be responsibly fixed. A three-student team on a well-understood problem falls in COCOMO Organic mode (a=2.4, b=1.05), so the estimate is only as good as the size input. If the calculated development time exceeds the available delivery period, scope must be reduced rather than the estimate optimistically adjusted.</t>
  </si>
  <si>
    <t>CON-002, CON-001, DEC-002</t>
  </si>
  <si>
    <t>COCOMO takes kLOC as input, but lines of code vary by an order of magnitude across stacks — and DEC-002 defers stack selection. Either produce the estimate against a documented assumed stack and revise it after M2, or delay the estimate and lose its value as a scope check. We take the first option and record the assumption.</t>
  </si>
  <si>
    <t>The system must support approximately 100 users, with the team able to reason about behaviour at 1000</t>
  </si>
  <si>
    <t>Converts a vague scalability aspiration into a testable figure for Member B's NFRs. 100 concurrent users is modest, but the tenfold headroom rules out designs dependent on in-memory session state or unindexed table scans. Drives indexing strategy, connection pooling and query design in M2, and is verifiable under CON-005 in M3.</t>
  </si>
  <si>
    <t>CON-003, CON-005</t>
  </si>
  <si>
    <t>Free-tier platforms commonly cap concurrent connections and database compute. The 1000-user headroom may exceed what the cost constraint permits, which feeds directly into the deferred hosting decision (DEC-003).</t>
  </si>
  <si>
    <t>The solution must be delivered as a web application; mobile access is provided through responsive web rather than a native application</t>
  </si>
  <si>
    <t>Confirms the exclusion already recorded in SCP-013 and DEC-007, but changes its status from team judgement to client directive — it can no longer be revisited without a change request. Places a responsive-design obligation on the interface and creates a mobile-viewport quality attribute that must be specified measurably.</t>
  </si>
  <si>
    <t>CON-001, DEC-007</t>
  </si>
  <si>
    <t>Responsive web avoids a second build and release path, but limits access to device capabilities. If photograph attachments (SCP-015) are reinstated, capture will depend on browser file APIs rather than native camera access.</t>
  </si>
  <si>
    <t>The solution must implement a layered architecture</t>
  </si>
  <si>
    <t>Removes architectural style from the M2 decision space. The M2 ADR therefore records rationale, layer boundaries and dependency rules rather than selecting between styles. Enforces that presentation code does not reach data access directly, which improves testability under CON-005 but adds mapping code between layers.</t>
  </si>
  <si>
    <t>CON-004, CON-005</t>
  </si>
  <si>
    <t>A prescribed style may not be optimal for the problem, but it lowers risk and learning curve for a team of three (CON-004). The team must still justify where the layer boundaries fall — that judgement remains ours and remains assessable.</t>
  </si>
  <si>
    <t>Demonstrable progress on frontend, backend and APIs is required from week 3 of the delivery period</t>
  </si>
  <si>
    <t>Overlaps construction with the M2 design phase rather than following it. Forces a technology commitment earlier than the evidence-gathering in DEC-002 and DEC-003 anticipated, and raises the risk of building against requirements that are not yet stable.</t>
  </si>
  <si>
    <t>CON-002, DEC-002, DEC-003</t>
  </si>
  <si>
    <t>Early construction produces feedback and reduces late integration risk, but compresses the window for platform and stack evaluation. The correct response is to record the acceleration and its risk rather than to claim the M1?M2?M3 sequence held unchanged.</t>
  </si>
  <si>
    <t>CON-014</t>
  </si>
  <si>
    <t>CON-015</t>
  </si>
  <si>
    <t>CON-016</t>
  </si>
  <si>
    <t>CON-017</t>
  </si>
  <si>
    <t>CON-018</t>
  </si>
  <si>
    <t>CON-019</t>
  </si>
  <si>
    <t>The system must produce logging sufficient to observe and check runtime performance</t>
  </si>
  <si>
    <t>Performance cannot be claimed under CON-005 without measurement, and measurement cannot be retrofitted after an incident. Logging must be designed alongside the architecture in M2, not added in M3. Also supplies the evidence needed to verify the response-time and capacity figures in CON-010.</t>
  </si>
  <si>
    <t>CON-005, CON-007, CON-010</t>
  </si>
  <si>
    <t>Performance logs that include request context risk capturing personal information, which CON-007 restricts. Log content and retention must be designed deliberately rather than defaulted.</t>
  </si>
  <si>
    <t>Database changes must be version controlled and auditable via triggers and logging</t>
  </si>
  <si>
    <t>Extends configuration control from source code to database state, matching the requirement that DB scripts be identifiable, versioned and controlled. Trigger-based audit also supplies the attribution needed for SCP-008 (recorded acting user) and the accountability the scenario identifies as missing.</t>
  </si>
  <si>
    <t>CON-006, CON-007, CON-010</t>
  </si>
  <si>
    <t>Triggers move audit logic into the database where it cannot be bypassed by the application, but they are harder to test and version than application-level auditing, and they add write overhead that matters at the CON-010 capacity figure.</t>
  </si>
  <si>
    <t>Development, test, staging and production must use separate database schemas</t>
  </si>
  <si>
    <t>Requires environment-specific configuration to be controlled from M2 rather than improvised at deployment, and makes schema migration a repeatable, scripted process rather than a manual one. Also prevents test data from reaching production data under CON-007.</t>
  </si>
  <si>
    <t>CON-003, CON-006, CON-015</t>
  </si>
  <si>
    <t>Multiple schemas may exceed free-tier database allowances, feeding the deferred hosting decision (DEC-003). Environment parity also becomes an obligation — divergence between staging and production undermines the value of having both.</t>
  </si>
  <si>
    <t>Database operations must be transactional so that faulty transactions can be rolled back</t>
  </si>
  <si>
    <t>Status transitions and assignment changes (SCP-007, SCP-008) touch multiple tables including the audit trail. Without transactional boundaries a partial failure leaves the lifecycle record inconsistent, which defeats the single-authoritative-record purpose in PED 2.2. Constrains the persistence choice in M2 toward a store with real transaction support.</t>
  </si>
  <si>
    <t>CON-015, DEC-002</t>
  </si>
  <si>
    <t>Transactional guarantees cost concurrency under load. At the CON-010 figure this is unlikely to bind, but the boundaries must be scoped deliberately rather than wrapping whole request handlers.</t>
  </si>
  <si>
    <t>The database must use an appropriate indexing strategy</t>
  </si>
  <si>
    <t>The search, filter and sort capability (SCP-006) and the management reporting views (SCP-011) are the queries that degrade first as volume grows. Indexing is what makes the CON-010 headroom achievable. Index selection must be justified against actual query patterns rather than added uniformly.</t>
  </si>
  <si>
    <t>CON-010, CON-005</t>
  </si>
  <si>
    <t>Indexes speed reads and slow writes. Combined with the trigger-based auditing in CON-015, write cost compounds — every status change writes the record, the audit row and every affected index.</t>
  </si>
  <si>
    <t>The system must implement role-based access control, user grouping and appropriate encryption, and will be actively probed for weaknesses during assessment</t>
  </si>
  <si>
    <t>Confirms and hardens CON-006 and SCP-012. The assessment method matters engineering-wise: controls will be tested adversarially, so authorisation must be enforced server-side at every entry point rather than by hiding interface elements. Encryption obligations apply in transit and at rest for the personal information under CON-007.</t>
  </si>
  <si>
    <t>CON-006, CON-007, CON-003</t>
  </si>
  <si>
    <t>Encryption at rest and managed identity are frequently paid features on otherwise-free platforms — another input to DEC-003. Server-side authorisation checks at every endpoint add development and test effort under CON-002.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</si>
</sst>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20"/>
      <color rgb="FF0F4761"/>
      <name val="Aptos Narrow"/>
      <family val="2"/>
      <scheme val="minor"/>
    </font>
    <font>
      <i/>
      <sz val="11"/>
      <color rgb="FF595959"/>
      <name val="Aptos Narrow"/>
      <family val="2"/>
      <scheme val="minor"/>
    </font>
    <font>
      <b/>
      <sz val="11"/>
      <color rgb="FFFFFFFF"/>
      <name val="Aptos Narrow"/>
      <family val="2"/>
      <scheme val="minor"/>
    </font>
    <font>
      <b/>
      <sz val="10.5"/>
      <color rgb="FF000000"/>
      <name val="Aptos Narrow"/>
      <family val="2"/>
      <scheme val="minor"/>
    </font>
    <font>
      <sz val="10.5"/>
      <color rgb="FF000000"/>
      <name val="Aptos Narrow"/>
      <family val="2"/>
      <scheme val="minor"/>
    </font>
    <font>
      <sz val="10.5"/>
      <color rgb="FF1F6F8C"/>
      <name val="Aptos Narrow"/>
      <family val="2"/>
      <scheme val="minor"/>
    </font>
    <font>
      <b/>
      <sz val="12"/>
      <color rgb="FF0F4761"/>
      <name val="Aptos Narrow"/>
      <family val="2"/>
      <scheme val="minor"/>
    </font>
    <font>
      <sz val="8"/>
      <name val="Aptos Narrow"/>
      <family val="2"/>
      <scheme val="minor"/>
    </font>
  </fonts>
  <fills count="5">
    <fill>
      <patternFill patternType="none"/>
    </fill>
    <fill>
      <patternFill patternType="gray125"/>
    </fill>
    <fill>
      <patternFill patternType="solid">
        <fgColor rgb="FF0F4761"/>
        <bgColor indexed="64"/>
      </patternFill>
    </fill>
    <fill>
      <patternFill patternType="solid">
        <fgColor rgb="FFEAF3F8"/>
        <bgColor indexed="64"/>
      </patternFill>
    </fill>
    <fill>
      <patternFill patternType="solid">
        <fgColor rgb="FFCDE7F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4" fillId="2" borderId="1" xfId="0" applyFont="1" applyFill="1" applyBorder="1" applyAlignment="1">
      <alignment horizontal="left" vertical="center" wrapText="1" indent="1"/>
    </xf>
    <xf numFmtId="0" fontId="4" fillId="2" borderId="1" xfId="0" applyFont="1" applyFill="1" applyBorder="1" applyAlignment="1">
      <alignment horizontal="center" vertical="center" wrapText="1" indent="1"/>
    </xf>
    <xf numFmtId="0" fontId="5" fillId="0" borderId="1" xfId="0" applyFont="1" applyBorder="1" applyAlignment="1">
      <alignment vertical="center" wrapText="1" indent="1"/>
    </xf>
    <xf numFmtId="0" fontId="5" fillId="0" borderId="1" xfId="0" applyFont="1" applyBorder="1" applyAlignment="1">
      <alignment horizontal="center" vertical="center" wrapText="1"/>
    </xf>
    <xf numFmtId="0" fontId="7" fillId="0" borderId="1" xfId="0" applyFont="1" applyBorder="1" applyAlignment="1">
      <alignment vertical="center" wrapText="1" indent="1"/>
    </xf>
    <xf numFmtId="0" fontId="7" fillId="0" borderId="1" xfId="0" applyFont="1" applyBorder="1" applyAlignment="1">
      <alignment horizontal="center" vertical="center" wrapText="1"/>
    </xf>
    <xf numFmtId="0" fontId="5" fillId="3" borderId="1" xfId="0" applyFont="1" applyFill="1" applyBorder="1" applyAlignment="1">
      <alignment vertical="center" wrapText="1" indent="1"/>
    </xf>
    <xf numFmtId="0" fontId="5" fillId="3" borderId="1" xfId="0" applyFont="1" applyFill="1" applyBorder="1" applyAlignment="1">
      <alignment horizontal="center" vertical="center" wrapText="1"/>
    </xf>
    <xf numFmtId="0" fontId="6" fillId="3" borderId="1" xfId="0" applyFont="1" applyFill="1" applyBorder="1" applyAlignment="1">
      <alignment vertical="center" wrapText="1" indent="1"/>
    </xf>
    <xf numFmtId="0" fontId="7" fillId="3" borderId="1" xfId="0" applyFont="1" applyFill="1" applyBorder="1" applyAlignment="1">
      <alignment vertical="center" wrapText="1" indent="1"/>
    </xf>
    <xf numFmtId="0" fontId="7"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6" fillId="0" borderId="1" xfId="0" applyFont="1" applyBorder="1" applyAlignment="1">
      <alignment vertical="center" wrapText="1"/>
    </xf>
    <xf numFmtId="0" fontId="6" fillId="3" borderId="1" xfId="0" applyFont="1" applyFill="1" applyBorder="1" applyAlignment="1">
      <alignment vertical="center" wrapText="1"/>
    </xf>
    <xf numFmtId="0" fontId="0" fillId="3" borderId="1" xfId="0" applyFill="1" applyBorder="1" applyAlignment="1">
      <alignment horizontal="left" vertical="center" indent="1"/>
    </xf>
    <xf numFmtId="0" fontId="1" fillId="4" borderId="1" xfId="0" applyFont="1" applyFill="1" applyBorder="1" applyAlignment="1">
      <alignment horizontal="left" vertical="center" indent="1"/>
    </xf>
    <xf numFmtId="0" fontId="2" fillId="0" borderId="0" xfId="0" applyFont="1" applyAlignment="1">
      <alignment vertical="center"/>
    </xf>
    <xf numFmtId="0" fontId="0" fillId="0" borderId="0" xfId="0" applyAlignment="1">
      <alignment vertical="center"/>
    </xf>
    <xf numFmtId="0" fontId="3" fillId="0" borderId="0" xfId="0" applyFont="1" applyAlignment="1">
      <alignment vertical="center"/>
    </xf>
    <xf numFmtId="0" fontId="8"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6" fillId="0" borderId="1" xfId="0" applyFont="1" applyBorder="1" applyAlignment="1">
      <alignment horizontal="center" vertical="center" wrapText="1"/>
    </xf>
    <xf numFmtId="0" fontId="0" fillId="0" borderId="0" xfId="0" applyAlignment="1">
      <alignment horizontal="left" vertical="center"/>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3" borderId="1" xfId="0" applyFont="1" applyFill="1" applyBorder="1" applyAlignment="1">
      <alignment horizontal="left" vertical="center" wrapText="1"/>
    </xf>
    <xf numFmtId="0" fontId="0" fillId="0" borderId="1" xfId="0" applyBorder="1" applyAlignment="1">
      <alignment horizontal="left" vertical="center" wrapText="1"/>
    </xf>
    <xf numFmtId="0" fontId="6" fillId="3" borderId="1" xfId="0" applyFont="1" applyFill="1" applyBorder="1" applyAlignment="1">
      <alignment horizontal="left" vertical="center" wrapText="1"/>
    </xf>
    <xf numFmtId="0" fontId="0" fillId="0" borderId="1" xfId="0" applyBorder="1" applyAlignment="1">
      <alignment wrapText="1"/>
    </xf>
  </cellXfs>
  <cellStyles count="1">
    <cellStyle name="Normal" xfId="0" builtinId="0"/>
  </cellStyles>
  <dxfs count="5">
    <dxf>
      <font>
        <b/>
        <i val="0"/>
        <color rgb="FFA61B1B"/>
      </font>
      <fill>
        <patternFill patternType="solid">
          <fgColor indexed="64"/>
          <bgColor rgb="FFFBE3E3"/>
        </patternFill>
      </fill>
    </dxf>
    <dxf>
      <font>
        <b/>
        <i val="0"/>
        <color rgb="FF0F4761"/>
      </font>
      <fill>
        <patternFill patternType="solid">
          <fgColor indexed="64"/>
          <bgColor rgb="FFE4F1F8"/>
        </patternFill>
      </fill>
    </dxf>
    <dxf>
      <font>
        <b/>
        <i val="0"/>
        <color rgb="FF1E6B2C"/>
      </font>
      <fill>
        <patternFill patternType="solid">
          <fgColor indexed="64"/>
          <bgColor rgb="FFE2F0E4"/>
        </patternFill>
      </fill>
    </dxf>
    <dxf>
      <font>
        <b/>
        <i val="0"/>
        <color rgb="FF7A3E00"/>
      </font>
      <fill>
        <patternFill patternType="solid">
          <fgColor indexed="64"/>
          <bgColor rgb="FFFFF3D6"/>
        </patternFill>
      </fill>
    </dxf>
    <dxf>
      <font>
        <b/>
        <i val="0"/>
        <color rgb="FF4A2D80"/>
      </font>
      <fill>
        <patternFill patternType="solid">
          <fgColor indexed="64"/>
          <bgColor rgb="FFEDE7F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CAEAA-E1A8-43E2-A3CE-E0545A1AE5E4}">
  <dimension ref="B1:L23"/>
  <sheetViews>
    <sheetView tabSelected="1" topLeftCell="F15" zoomScale="70" zoomScaleNormal="70" workbookViewId="0">
      <selection activeCell="H23" sqref="H23"/>
    </sheetView>
  </sheetViews>
  <sheetFormatPr defaultRowHeight="14.4" x14ac:dyDescent="0.3"/>
  <cols>
    <col min="1" max="1" width="2.21875" customWidth="1"/>
    <col min="2" max="2" width="13" customWidth="1"/>
    <col min="3" max="3" width="19.44140625" customWidth="1"/>
    <col min="4" max="4" width="72.109375" customWidth="1"/>
    <col min="5" max="5" width="24.109375" customWidth="1"/>
    <col min="6" max="6" width="88.5546875" customWidth="1"/>
    <col min="7" max="7" width="37.109375" customWidth="1"/>
    <col min="8" max="8" width="51.88671875" customWidth="1"/>
    <col min="11" max="11" width="23" customWidth="1"/>
    <col min="12" max="12" width="39.77734375" customWidth="1"/>
  </cols>
  <sheetData>
    <row r="1" spans="2:12" ht="25.8" x14ac:dyDescent="0.3">
      <c r="B1" s="18" t="s">
        <v>0</v>
      </c>
      <c r="C1" s="19"/>
      <c r="D1" s="19"/>
      <c r="E1" s="19"/>
      <c r="F1" s="19"/>
      <c r="G1" s="19"/>
      <c r="H1" s="19"/>
    </row>
    <row r="2" spans="2:12" x14ac:dyDescent="0.3">
      <c r="B2" s="20" t="s">
        <v>1</v>
      </c>
      <c r="C2" s="19"/>
      <c r="D2" s="19"/>
      <c r="E2" s="19"/>
      <c r="F2" s="19"/>
      <c r="G2" s="19"/>
      <c r="H2" s="19"/>
    </row>
    <row r="4" spans="2:12" ht="15.6" x14ac:dyDescent="0.3">
      <c r="B4" s="1" t="s">
        <v>2</v>
      </c>
      <c r="C4" s="2" t="s">
        <v>3</v>
      </c>
      <c r="D4" s="1" t="s">
        <v>4</v>
      </c>
      <c r="E4" s="1" t="s">
        <v>5</v>
      </c>
      <c r="F4" s="1" t="s">
        <v>6</v>
      </c>
      <c r="G4" s="2" t="s">
        <v>7</v>
      </c>
      <c r="H4" s="1" t="s">
        <v>8</v>
      </c>
      <c r="J4" s="21" t="s">
        <v>57</v>
      </c>
      <c r="K4" s="22"/>
      <c r="L4" s="23"/>
    </row>
    <row r="5" spans="2:12" ht="43.2" x14ac:dyDescent="0.3">
      <c r="B5" s="3" t="s">
        <v>9</v>
      </c>
      <c r="C5" s="4" t="s">
        <v>10</v>
      </c>
      <c r="D5" s="26" t="s">
        <v>11</v>
      </c>
      <c r="E5" s="27" t="s">
        <v>12</v>
      </c>
      <c r="F5" s="14" t="s">
        <v>13</v>
      </c>
      <c r="G5" s="6" t="s">
        <v>14</v>
      </c>
      <c r="H5" s="26" t="s">
        <v>15</v>
      </c>
      <c r="J5" s="16" t="s">
        <v>10</v>
      </c>
      <c r="K5" s="16"/>
      <c r="L5" s="12">
        <f>COUNTIF($C$5:$C$58,"Scope")</f>
        <v>2</v>
      </c>
    </row>
    <row r="6" spans="2:12" ht="43.2" x14ac:dyDescent="0.3">
      <c r="B6" s="7" t="s">
        <v>14</v>
      </c>
      <c r="C6" s="8" t="s">
        <v>16</v>
      </c>
      <c r="D6" s="30" t="s">
        <v>17</v>
      </c>
      <c r="E6" s="28" t="s">
        <v>18</v>
      </c>
      <c r="F6" s="15" t="s">
        <v>19</v>
      </c>
      <c r="G6" s="11" t="s">
        <v>20</v>
      </c>
      <c r="H6" s="30" t="s">
        <v>21</v>
      </c>
      <c r="J6" s="16" t="s">
        <v>16</v>
      </c>
      <c r="K6" s="16"/>
      <c r="L6" s="12">
        <f>COUNTIF($C$5:$C$65,"Schedule")</f>
        <v>3</v>
      </c>
    </row>
    <row r="7" spans="2:12" ht="43.2" x14ac:dyDescent="0.3">
      <c r="B7" s="3" t="s">
        <v>22</v>
      </c>
      <c r="C7" s="4" t="s">
        <v>23</v>
      </c>
      <c r="D7" s="26" t="s">
        <v>24</v>
      </c>
      <c r="E7" s="27" t="s">
        <v>25</v>
      </c>
      <c r="F7" s="14" t="s">
        <v>26</v>
      </c>
      <c r="G7" s="6" t="s">
        <v>27</v>
      </c>
      <c r="H7" s="26" t="s">
        <v>28</v>
      </c>
      <c r="J7" s="16" t="s">
        <v>23</v>
      </c>
      <c r="K7" s="16"/>
      <c r="L7" s="12">
        <f>COUNTIF($C$5:$C$58,"Cost &amp; resources")</f>
        <v>3</v>
      </c>
    </row>
    <row r="8" spans="2:12" ht="43.2" x14ac:dyDescent="0.3">
      <c r="B8" s="7" t="s">
        <v>20</v>
      </c>
      <c r="C8" s="8" t="s">
        <v>23</v>
      </c>
      <c r="D8" s="30" t="s">
        <v>29</v>
      </c>
      <c r="E8" s="28" t="s">
        <v>30</v>
      </c>
      <c r="F8" s="15" t="s">
        <v>31</v>
      </c>
      <c r="G8" s="11" t="s">
        <v>14</v>
      </c>
      <c r="H8" s="30" t="s">
        <v>32</v>
      </c>
      <c r="J8" s="16" t="s">
        <v>34</v>
      </c>
      <c r="K8" s="16"/>
      <c r="L8" s="12">
        <f>COUNTIF($C$5:$C$63,"Quality")</f>
        <v>8</v>
      </c>
    </row>
    <row r="9" spans="2:12" ht="28.8" x14ac:dyDescent="0.3">
      <c r="B9" s="3" t="s">
        <v>33</v>
      </c>
      <c r="C9" s="4" t="s">
        <v>34</v>
      </c>
      <c r="D9" s="26" t="s">
        <v>35</v>
      </c>
      <c r="E9" s="27" t="s">
        <v>36</v>
      </c>
      <c r="F9" s="14" t="s">
        <v>37</v>
      </c>
      <c r="G9" s="6" t="s">
        <v>14</v>
      </c>
      <c r="H9" s="26" t="s">
        <v>38</v>
      </c>
      <c r="J9" s="16" t="s">
        <v>40</v>
      </c>
      <c r="K9" s="16"/>
      <c r="L9" s="12">
        <f>COUNTIF($C$5:$C$56,"Security")</f>
        <v>3</v>
      </c>
    </row>
    <row r="10" spans="2:12" ht="43.2" x14ac:dyDescent="0.3">
      <c r="B10" s="7" t="s">
        <v>39</v>
      </c>
      <c r="C10" s="8" t="s">
        <v>40</v>
      </c>
      <c r="D10" s="30" t="s">
        <v>41</v>
      </c>
      <c r="E10" s="28" t="s">
        <v>42</v>
      </c>
      <c r="F10" s="15" t="s">
        <v>43</v>
      </c>
      <c r="G10" s="11" t="s">
        <v>22</v>
      </c>
      <c r="H10" s="30" t="s">
        <v>44</v>
      </c>
      <c r="J10" s="17" t="s">
        <v>58</v>
      </c>
      <c r="K10" s="17"/>
      <c r="L10" s="13">
        <f>COUNTA($B$5:$B$64)</f>
        <v>19</v>
      </c>
    </row>
    <row r="11" spans="2:12" ht="28.8" x14ac:dyDescent="0.3">
      <c r="B11" s="3" t="s">
        <v>45</v>
      </c>
      <c r="C11" s="4" t="s">
        <v>40</v>
      </c>
      <c r="D11" s="26" t="s">
        <v>46</v>
      </c>
      <c r="E11" s="27" t="s">
        <v>47</v>
      </c>
      <c r="F11" s="14" t="s">
        <v>48</v>
      </c>
      <c r="G11" s="6" t="s">
        <v>49</v>
      </c>
      <c r="H11" s="26" t="s">
        <v>50</v>
      </c>
    </row>
    <row r="12" spans="2:12" ht="43.2" x14ac:dyDescent="0.3">
      <c r="B12" s="7" t="s">
        <v>51</v>
      </c>
      <c r="C12" s="8" t="s">
        <v>23</v>
      </c>
      <c r="D12" s="30" t="s">
        <v>52</v>
      </c>
      <c r="E12" s="28" t="s">
        <v>53</v>
      </c>
      <c r="F12" s="15" t="s">
        <v>54</v>
      </c>
      <c r="G12" s="11" t="s">
        <v>55</v>
      </c>
      <c r="H12" s="30" t="s">
        <v>56</v>
      </c>
    </row>
    <row r="13" spans="2:12" ht="86.4" x14ac:dyDescent="0.3">
      <c r="B13" s="4" t="s">
        <v>59</v>
      </c>
      <c r="C13" s="8" t="s">
        <v>16</v>
      </c>
      <c r="D13" s="25" t="s">
        <v>64</v>
      </c>
      <c r="E13" s="27" t="s">
        <v>65</v>
      </c>
      <c r="F13" s="26" t="s">
        <v>67</v>
      </c>
      <c r="G13" s="6" t="s">
        <v>68</v>
      </c>
      <c r="H13" s="29" t="s">
        <v>69</v>
      </c>
    </row>
    <row r="14" spans="2:12" ht="57.6" x14ac:dyDescent="0.3">
      <c r="B14" s="7" t="s">
        <v>60</v>
      </c>
      <c r="C14" s="4" t="s">
        <v>34</v>
      </c>
      <c r="D14" s="30" t="s">
        <v>70</v>
      </c>
      <c r="E14" s="10" t="s">
        <v>66</v>
      </c>
      <c r="F14" s="15" t="s">
        <v>71</v>
      </c>
      <c r="G14" s="11" t="s">
        <v>72</v>
      </c>
      <c r="H14" s="30" t="s">
        <v>73</v>
      </c>
    </row>
    <row r="15" spans="2:12" ht="57.6" x14ac:dyDescent="0.3">
      <c r="B15" s="3" t="s">
        <v>61</v>
      </c>
      <c r="C15" s="4" t="s">
        <v>10</v>
      </c>
      <c r="D15" s="29" t="s">
        <v>74</v>
      </c>
      <c r="E15" s="5" t="s">
        <v>66</v>
      </c>
      <c r="F15" s="31" t="s">
        <v>75</v>
      </c>
      <c r="G15" s="6" t="s">
        <v>76</v>
      </c>
      <c r="H15" s="31" t="s">
        <v>77</v>
      </c>
    </row>
    <row r="16" spans="2:12" ht="57.6" x14ac:dyDescent="0.3">
      <c r="B16" s="7" t="s">
        <v>62</v>
      </c>
      <c r="C16" s="4" t="s">
        <v>34</v>
      </c>
      <c r="D16" s="30" t="s">
        <v>78</v>
      </c>
      <c r="E16" s="10" t="s">
        <v>66</v>
      </c>
      <c r="F16" s="15" t="s">
        <v>79</v>
      </c>
      <c r="G16" s="11" t="s">
        <v>80</v>
      </c>
      <c r="H16" s="9" t="s">
        <v>81</v>
      </c>
    </row>
    <row r="17" spans="2:8" ht="72" x14ac:dyDescent="0.3">
      <c r="B17" s="3" t="s">
        <v>63</v>
      </c>
      <c r="C17" s="8" t="s">
        <v>16</v>
      </c>
      <c r="D17" s="29" t="s">
        <v>82</v>
      </c>
      <c r="E17" s="5" t="s">
        <v>66</v>
      </c>
      <c r="F17" s="31" t="s">
        <v>83</v>
      </c>
      <c r="G17" s="6" t="s">
        <v>84</v>
      </c>
      <c r="H17" s="31" t="s">
        <v>85</v>
      </c>
    </row>
    <row r="18" spans="2:8" ht="57.6" x14ac:dyDescent="0.3">
      <c r="B18" s="3" t="s">
        <v>86</v>
      </c>
      <c r="C18" s="24" t="s">
        <v>34</v>
      </c>
      <c r="D18" s="29" t="s">
        <v>92</v>
      </c>
      <c r="E18" s="5" t="s">
        <v>66</v>
      </c>
      <c r="F18" s="31" t="s">
        <v>93</v>
      </c>
      <c r="G18" s="6" t="s">
        <v>94</v>
      </c>
      <c r="H18" s="31" t="s">
        <v>95</v>
      </c>
    </row>
    <row r="19" spans="2:8" ht="57.6" x14ac:dyDescent="0.3">
      <c r="B19" s="3" t="s">
        <v>87</v>
      </c>
      <c r="C19" s="24" t="s">
        <v>34</v>
      </c>
      <c r="D19" s="29" t="s">
        <v>96</v>
      </c>
      <c r="E19" s="5" t="s">
        <v>66</v>
      </c>
      <c r="F19" s="31" t="s">
        <v>97</v>
      </c>
      <c r="G19" s="6" t="s">
        <v>98</v>
      </c>
      <c r="H19" s="31" t="s">
        <v>99</v>
      </c>
    </row>
    <row r="20" spans="2:8" ht="57.6" x14ac:dyDescent="0.3">
      <c r="B20" s="3" t="s">
        <v>88</v>
      </c>
      <c r="C20" s="24" t="s">
        <v>34</v>
      </c>
      <c r="D20" s="29" t="s">
        <v>100</v>
      </c>
      <c r="E20" s="5" t="s">
        <v>66</v>
      </c>
      <c r="F20" s="31" t="s">
        <v>101</v>
      </c>
      <c r="G20" s="6" t="s">
        <v>102</v>
      </c>
      <c r="H20" s="31" t="s">
        <v>103</v>
      </c>
    </row>
    <row r="21" spans="2:8" ht="57.6" x14ac:dyDescent="0.3">
      <c r="B21" s="3" t="s">
        <v>89</v>
      </c>
      <c r="C21" s="24" t="s">
        <v>34</v>
      </c>
      <c r="D21" s="29" t="s">
        <v>104</v>
      </c>
      <c r="E21" s="5" t="s">
        <v>66</v>
      </c>
      <c r="F21" s="31" t="s">
        <v>105</v>
      </c>
      <c r="G21" s="6" t="s">
        <v>106</v>
      </c>
      <c r="H21" s="31" t="s">
        <v>107</v>
      </c>
    </row>
    <row r="22" spans="2:8" ht="57.6" x14ac:dyDescent="0.3">
      <c r="B22" s="3" t="s">
        <v>90</v>
      </c>
      <c r="C22" s="24" t="s">
        <v>34</v>
      </c>
      <c r="D22" s="29" t="s">
        <v>108</v>
      </c>
      <c r="E22" s="5" t="s">
        <v>66</v>
      </c>
      <c r="F22" s="31" t="s">
        <v>109</v>
      </c>
      <c r="G22" s="6" t="s">
        <v>110</v>
      </c>
      <c r="H22" s="31" t="s">
        <v>111</v>
      </c>
    </row>
    <row r="23" spans="2:8" ht="57.6" x14ac:dyDescent="0.3">
      <c r="B23" s="3" t="s">
        <v>91</v>
      </c>
      <c r="C23" s="4" t="s">
        <v>40</v>
      </c>
      <c r="D23" s="29" t="s">
        <v>112</v>
      </c>
      <c r="E23" s="5" t="s">
        <v>66</v>
      </c>
      <c r="F23" s="31" t="s">
        <v>113</v>
      </c>
      <c r="G23" s="6" t="s">
        <v>114</v>
      </c>
      <c r="H23" s="31" t="s">
        <v>115</v>
      </c>
    </row>
  </sheetData>
  <mergeCells count="9">
    <mergeCell ref="J8:K8"/>
    <mergeCell ref="J9:K9"/>
    <mergeCell ref="J10:K10"/>
    <mergeCell ref="B1:H1"/>
    <mergeCell ref="B2:H2"/>
    <mergeCell ref="J4:L4"/>
    <mergeCell ref="J5:K5"/>
    <mergeCell ref="J6:K6"/>
    <mergeCell ref="J7:K7"/>
  </mergeCells>
  <phoneticPr fontId="9" type="noConversion"/>
  <conditionalFormatting sqref="C5:C23">
    <cfRule type="containsText" dxfId="4" priority="1" operator="containsText" text="Scope">
      <formula>NOT(ISERROR(SEARCH("Scope",C5)))</formula>
    </cfRule>
    <cfRule type="containsText" dxfId="3" priority="2" operator="containsText" text="Schedule">
      <formula>NOT(ISERROR(SEARCH("Schedule",C5)))</formula>
    </cfRule>
    <cfRule type="containsText" dxfId="2" priority="3" operator="containsText" text="Cost">
      <formula>NOT(ISERROR(SEARCH("Cost",C5)))</formula>
    </cfRule>
    <cfRule type="containsText" dxfId="1" priority="4" operator="containsText" text="Quality">
      <formula>NOT(ISERROR(SEARCH("Quality",C5)))</formula>
    </cfRule>
    <cfRule type="containsText" dxfId="0" priority="5" operator="containsText" text="Security">
      <formula>NOT(ISERROR(SEARCH("Security",C5)))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Constraints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2026-09-08T21:26:45Z</dcterms:created>
  <dcterms:modified xsi:type="dcterms:W3CDTF">2026-09-09T11:25:17Z</dcterms:modified>
</cp:coreProperties>
</file>