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quirements Control"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C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9" customWidth="1" style="18" min="1" max="1"/>
    <col width="30" customWidth="1" style="18" min="2" max="2"/>
    <col width="118" customWidth="1" style="18" min="3" max="3"/>
  </cols>
  <sheetData>
    <row r="1" ht="24.45" customHeight="1" s="19">
      <c r="B1" s="20" t="inlineStr">
        <is>
          <t>Requirements Control</t>
        </is>
      </c>
    </row>
    <row r="2" ht="15" customHeight="1" s="19">
      <c r="B2" s="21" t="inlineStr">
        <is>
          <t>Member B — identifier policy, prioritisation method, acceptance criteria format and classification scheme applied to the M1 requirements baseline</t>
        </is>
      </c>
    </row>
    <row r="4" ht="24" customHeight="1" s="19">
      <c r="B4" s="22" t="inlineStr">
        <is>
          <t>Document control</t>
        </is>
      </c>
      <c r="C4" s="23" t="n"/>
    </row>
    <row r="5" ht="28.5" customHeight="1" s="19">
      <c r="B5" s="24" t="inlineStr">
        <is>
          <t>Artefact</t>
        </is>
      </c>
      <c r="C5" s="25" t="inlineStr">
        <is>
          <t>CivicConnect M1 — Functional Requirements, Non-Functional Requirements, Acceptance Criteria and Requirements Traceability Matrix</t>
        </is>
      </c>
    </row>
    <row r="6" ht="16.5" customHeight="1" s="19">
      <c r="B6" s="24" t="inlineStr">
        <is>
          <t>Owner</t>
        </is>
      </c>
      <c r="C6" s="25" t="inlineStr">
        <is>
          <t>Member B — Requirements &amp; Traceability</t>
        </is>
      </c>
    </row>
    <row r="7" ht="16.5" customHeight="1" s="19">
      <c r="B7" s="24" t="inlineStr">
        <is>
          <t>Version</t>
        </is>
      </c>
      <c r="C7" s="25" t="inlineStr">
        <is>
          <t>0.1 — Draft for two-reviewer Pull Request approval by Members A and C</t>
        </is>
      </c>
    </row>
    <row r="8" ht="41.25" customHeight="1" s="19">
      <c r="B8" s="24" t="inlineStr">
        <is>
          <t>Governing documents</t>
        </is>
      </c>
      <c r="C8" s="25" t="inlineStr">
        <is>
          <t>SEN381 CivicConnect Master Project Brief v1.1 (s.11 Requirements, Traceability and Baseline Standard; Appendix A). SEN381 Milestone 1 brief. Member A's baselined Stakeholder Register, Stakeholder Conflicts, Scope Baseline, Constraints and Decision Log.</t>
        </is>
      </c>
    </row>
    <row r="9" ht="28.5" customHeight="1" s="19">
      <c r="B9" s="24" t="inlineStr">
        <is>
          <t>Derivation rule applied</t>
        </is>
      </c>
      <c r="C9" s="25" t="inlineStr">
        <is>
          <t>Every requirement traces to at least one identifier from Member A's baselined work (STK, CFL, SCP, CON, DEC) or to a numbered section of the Master Project Brief. No requirement was written from the CivicConnect scenario text directly.</t>
        </is>
      </c>
    </row>
    <row r="10" ht="24" customHeight="1" s="19">
      <c r="B10" s="22" t="inlineStr">
        <is>
          <t>Identifier policy</t>
        </is>
      </c>
      <c r="C10" s="23" t="n"/>
    </row>
    <row r="11" ht="28.5" customHeight="1" s="19">
      <c r="B11" s="24" t="inlineStr">
        <is>
          <t>Format</t>
        </is>
      </c>
      <c r="C11" s="25" t="inlineStr">
        <is>
          <t>FR-&lt;group&gt;.&lt;sequence&gt; and NFR-&lt;category&gt;.&lt;sequence&gt;, following the hierarchical numbering taught in Systems Analysis &amp; Design. Acceptance criteria take the identifier of the requirement they verify, prefixed AC-.</t>
        </is>
      </c>
    </row>
    <row r="12" ht="54" customHeight="1" s="19">
      <c r="B12" s="24" t="inlineStr">
        <is>
          <t>Reconciling two standards</t>
        </is>
      </c>
      <c r="C12" s="25" t="inlineStr">
        <is>
          <t>Master Brief s.11 requires unique, stable identifiers and gives FR-001 as an example; the SAD slides mandate hierarchical numbering grouped by feature. 'For example' in s.11 makes the flat form illustrative rather than binding, so the hierarchical form is used. The binding words in s.11 are unique and stable, and the rule below is what makes the hierarchical form satisfy them.</t>
        </is>
      </c>
    </row>
    <row r="13" ht="54" customHeight="1" s="19">
      <c r="B13" s="24" t="inlineStr">
        <is>
          <t>Stability rule</t>
        </is>
      </c>
      <c r="C13" s="25" t="inlineStr">
        <is>
          <t>An identifier is a permanent label, not a position. New requirements are appended to the end of their group and never inserted. Existing requirements are never renumbered. A withdrawn requirement keeps its identifier, marked Superseded, and its number is never reused. This is what allows an M3 test reference or an M4 release note to cite FR-3.5 and still mean the same requirement.</t>
        </is>
      </c>
    </row>
    <row r="14" ht="28.5" customHeight="1" s="19">
      <c r="B14" s="24" t="inlineStr">
        <is>
          <t>If the assessor requires flat IDs</t>
        </is>
      </c>
      <c r="C14" s="25" t="inlineStr">
        <is>
          <t>The mapping is mechanical and can be applied without touching any requirement text: FR-1.1 becomes FR-001 in sheet order. Raise it as a change request rather than editing the baseline silently.</t>
        </is>
      </c>
    </row>
    <row r="15" ht="24" customHeight="1" s="19">
      <c r="B15" s="22" t="inlineStr">
        <is>
          <t>Prioritisation method</t>
        </is>
      </c>
      <c r="C15" s="23" t="n"/>
    </row>
    <row r="16" ht="28.5" customHeight="1" s="19">
      <c r="B16" s="24" t="inlineStr">
        <is>
          <t>Method</t>
        </is>
      </c>
      <c r="C16" s="25" t="inlineStr">
        <is>
          <t>Importance Level — High / Medium / Low, the scale used in the SAD use case documentation. The method is stated here so the RTM priority column is interpretable by a third party.</t>
        </is>
      </c>
    </row>
    <row r="17" ht="28.5" customHeight="1" s="19">
      <c r="B17" s="24" t="inlineStr">
        <is>
          <t>High</t>
        </is>
      </c>
      <c r="C17" s="25" t="inlineStr">
        <is>
          <t>The committed business capability fails or an obligation under CON-006 or CON-007 is breached without it. Verified first in M3.</t>
        </is>
      </c>
    </row>
    <row r="18" ht="28.5" customHeight="1" s="19">
      <c r="B18" s="24" t="inlineStr">
        <is>
          <t>Medium</t>
        </is>
      </c>
      <c r="C18" s="25" t="inlineStr">
        <is>
          <t>Within the committed baseline, but the capability still delivers value in a degraded form without it. Verified after all High items.</t>
        </is>
      </c>
    </row>
    <row r="19" ht="16.5" customHeight="1" s="19">
      <c r="B19" s="24" t="inlineStr">
        <is>
          <t>Low</t>
        </is>
      </c>
      <c r="C19" s="25" t="inlineStr">
        <is>
          <t>Preserves a later option or supports a lifecycle concern that no stakeholder has yet stated a need for. Verified last.</t>
        </is>
      </c>
    </row>
    <row r="20" ht="41.25" customHeight="1" s="19">
      <c r="B20" s="24" t="inlineStr">
        <is>
          <t>What priority does NOT authorise</t>
        </is>
      </c>
      <c r="C20" s="25" t="inlineStr">
        <is>
          <t>CON-001 sets a capability floor that cannot be traded away under schedule pressure. Priority therefore orders implementation and verification effort inside the baseline. It does not license dropping a Low requirement when the M2 or M3 schedule tightens — that would be a scope change requiring the Appendix E impact analysis.</t>
        </is>
      </c>
    </row>
    <row r="21" ht="24" customHeight="1" s="19">
      <c r="B21" s="22" t="inlineStr">
        <is>
          <t>Acceptance criteria format</t>
        </is>
      </c>
      <c r="C21" s="23" t="n"/>
    </row>
    <row r="22" ht="28.5" customHeight="1" s="19">
      <c r="B22" s="24" t="inlineStr">
        <is>
          <t>Format adopted</t>
        </is>
      </c>
      <c r="C22" s="25" t="inlineStr">
        <is>
          <t>Given / When / Then, one criterion per row, with negative cases stated as separate criteria where the refusal is the behaviour being verified (for example AC-FR-2.2b, AC-FR-5.3, AC-FR-6.7).</t>
        </is>
      </c>
    </row>
    <row r="23" ht="54" customHeight="1" s="19">
      <c r="B23" s="24" t="inlineStr">
        <is>
          <t>Why this format</t>
        </is>
      </c>
      <c r="C23" s="25" t="inlineStr">
        <is>
          <t>The SAD slides are silent on structure, so the format was chosen against the downstream obligation instead. Master Brief Appendix A requires M3 test evidence to record an input/precondition, an expected result and a pass/fail outcome. Given maps to precondition, When to the action, Then to the expected result — so each criterion written now becomes an M3 test case skeleton with no rewriting, and the Test ref column in the RTM has something to point at.</t>
        </is>
      </c>
    </row>
    <row r="24" ht="28.5" customHeight="1" s="19">
      <c r="B24" s="24" t="inlineStr">
        <is>
          <t>Third-party test applied</t>
        </is>
      </c>
      <c r="C24" s="25" t="inlineStr">
        <is>
          <t>Each Then clause names an observable outcome, not an intention. 'The system rejects the submission and names the missing field' can be marked pass or fail by someone who has never spoken to the team; 'the form validates correctly' cannot.</t>
        </is>
      </c>
    </row>
    <row r="25" ht="24" customHeight="1" s="19">
      <c r="B25" s="22" t="inlineStr">
        <is>
          <t>Non-functional classification</t>
        </is>
      </c>
      <c r="C25" s="23" t="n"/>
    </row>
    <row r="26" ht="28.5" customHeight="1" s="19">
      <c r="B26" s="24" t="inlineStr">
        <is>
          <t>Scheme</t>
        </is>
      </c>
      <c r="C26" s="25" t="inlineStr">
        <is>
          <t>The four-category scheme mandated by the SAD slides: 1. Operational, 2. Performance, 3. Security, 4. Cultural and Political. Every NFR sits under exactly one heading.</t>
        </is>
      </c>
    </row>
    <row r="27" ht="28.5" customHeight="1" s="19">
      <c r="B27" s="24" t="inlineStr">
        <is>
          <t>Measurability</t>
        </is>
      </c>
      <c r="C27" s="25" t="inlineStr">
        <is>
          <t>CON-005 requires quality attributes to be measurable in M1 and supported by evidence later. Every NFR carries a figure and a condition, except NFR-4.2, which is deliberately left without one — see the Open Items sheet.</t>
        </is>
      </c>
    </row>
    <row r="28" ht="41.25" customHeight="1" s="19">
      <c r="B28" s="24" t="inlineStr">
        <is>
          <t>Architecture constraint</t>
        </is>
      </c>
      <c r="C28" s="25" t="inlineStr">
        <is>
          <t>NFR-3.3 (server-side enforcement of authorisation) is nominated as the NFR that constrains a future architecture choice, and NFR-1.4 (90-day audit log retention) as the one that constrains a future technology and platform choice. Both are worked through on the Traced Example sheet.</t>
        </is>
      </c>
    </row>
    <row r="29" ht="24" customHeight="1" s="19">
      <c r="B29" s="22" t="inlineStr">
        <is>
          <t>Baseline summary</t>
        </is>
      </c>
      <c r="C29" s="23" t="n"/>
    </row>
    <row r="30" ht="15" customHeight="1" s="19">
      <c r="B30" s="26" t="inlineStr">
        <is>
          <t>Functional requirements</t>
        </is>
      </c>
      <c r="C30" s="26">
        <f>COUNTA('Functional Requirements'!B5:B100)</f>
        <v/>
      </c>
    </row>
    <row r="31" ht="15" customHeight="1" s="19">
      <c r="B31" s="27" t="inlineStr">
        <is>
          <t xml:space="preserve">  of which High priority</t>
        </is>
      </c>
      <c r="C31" s="26">
        <f>COUNTIF('Functional Requirements'!E5:E100,"High")</f>
        <v/>
      </c>
    </row>
    <row r="32" ht="15" customHeight="1" s="19">
      <c r="B32" s="27" t="inlineStr">
        <is>
          <t xml:space="preserve">  of which Medium priority</t>
        </is>
      </c>
      <c r="C32" s="26">
        <f>COUNTIF('Functional Requirements'!E5:E100,"Medium")</f>
        <v/>
      </c>
    </row>
    <row r="33" ht="15" customHeight="1" s="19">
      <c r="B33" s="26" t="inlineStr">
        <is>
          <t>Non-functional requirements</t>
        </is>
      </c>
      <c r="C33" s="26">
        <f>COUNTA('Non-Functional Requirements'!B5:B100)</f>
        <v/>
      </c>
    </row>
    <row r="34" ht="15" customHeight="1" s="19">
      <c r="B34" s="27" t="inlineStr">
        <is>
          <t xml:space="preserve">  Operational / Performance</t>
        </is>
      </c>
      <c r="C34" s="26">
        <f>COUNTIF('Non-Functional Requirements'!C5:C100,"1. Operational")&amp;" / "&amp;COUNTIF('Non-Functional Requirements'!C5:C100,"2. Performance")</f>
        <v/>
      </c>
    </row>
    <row r="35" ht="15" customHeight="1" s="19">
      <c r="B35" s="27" t="inlineStr">
        <is>
          <t xml:space="preserve">  Security / Cultural &amp; Political</t>
        </is>
      </c>
      <c r="C35" s="26">
        <f>COUNTIF('Non-Functional Requirements'!C5:C100,"3. Security")&amp;" / "&amp;COUNTIF('Non-Functional Requirements'!C5:C100,"4. Cultural &amp; Political")</f>
        <v/>
      </c>
    </row>
    <row r="36" ht="15" customHeight="1" s="19">
      <c r="B36" s="26" t="inlineStr">
        <is>
          <t>Acceptance criteria</t>
        </is>
      </c>
      <c r="C36" s="26">
        <f>COUNTA('Acceptance Criteria'!B5:B200)</f>
        <v/>
      </c>
    </row>
    <row r="37" ht="15" customHeight="1" s="19">
      <c r="B37" s="26" t="inlineStr">
        <is>
          <t>RTM rows</t>
        </is>
      </c>
      <c r="C37" s="26">
        <f>COUNTA(RTM!B5:B200)</f>
        <v/>
      </c>
    </row>
    <row r="38" ht="15" customHeight="1" s="19">
      <c r="B38" s="26" t="inlineStr">
        <is>
          <t>Requirements not yet baselined</t>
        </is>
      </c>
      <c r="C38" s="26">
        <f>COUNTIF(RTM!J5:J200,"Proposed*")+COUNTIF(RTM!J5:J200,"Blocked*")</f>
        <v/>
      </c>
    </row>
    <row r="40" ht="15" customHeight="1" s="19">
      <c r="B40" s="28" t="inlineStr">
        <is>
          <t>Every figure above is a live formula over the sheets in this workbook. If a requirement is added or withdrawn, this summary updates rather than silently disagreeing with the baseline.</t>
        </is>
      </c>
    </row>
  </sheetData>
  <mergeCells count="3">
    <mergeCell ref="B1:C1"/>
    <mergeCell ref="B2:C2"/>
    <mergeCell ref="B40:C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2026-09-07T15:45:38Z</dcterms:created>
  <dcterms:modified xmlns:dcterms="http://purl.org/dc/terms/" xmlns:xsi="http://www.w3.org/2001/XMLSchema-instance" xsi:type="dcterms:W3CDTF">2026-09-08T22:50:29Z</dcterms:modified>
  <cp:revision>0</cp:revision>
</cp:coreProperties>
</file>